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teracy\Desktop\"/>
    </mc:Choice>
  </mc:AlternateContent>
  <bookViews>
    <workbookView xWindow="0" yWindow="0" windowWidth="20490" windowHeight="7065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0" hidden="1">Sheet1!$A$2:$O$22</definedName>
    <definedName name="_xlnm._FilterDatabase" localSheetId="1" hidden="1">Sheet2!$A$1:$N$21</definedName>
    <definedName name="_xlnm._FilterDatabase" localSheetId="2" hidden="1">Sheet3!$D$5:$O$28</definedName>
    <definedName name="_xlnm.Criteria" localSheetId="0">Sheet1!$B$27:$B$28</definedName>
    <definedName name="_xlnm.Criteria" localSheetId="1">Sheet2!$C$23:$C$28</definedName>
    <definedName name="_xlnm.Extract" localSheetId="0">Sheet1!$E$27:$R$27</definedName>
    <definedName name="_xlnm.Extract" localSheetId="1">Sheet2!$E$23:$R$23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5" l="1"/>
  <c r="N13" i="5"/>
  <c r="N14" i="5"/>
  <c r="N15" i="5"/>
  <c r="N16" i="5"/>
  <c r="N17" i="5"/>
  <c r="N11" i="5"/>
  <c r="M12" i="5"/>
  <c r="M13" i="5"/>
  <c r="M14" i="5"/>
  <c r="M15" i="5"/>
  <c r="M16" i="5"/>
  <c r="M17" i="5"/>
  <c r="M11" i="5"/>
  <c r="AR5" i="4" l="1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4" i="4"/>
  <c r="AP5" i="4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4" i="4"/>
  <c r="AK5" i="4"/>
  <c r="AO5" i="4" s="1"/>
  <c r="AQ5" i="4" s="1"/>
  <c r="AS5" i="4" s="1"/>
  <c r="AK6" i="4"/>
  <c r="AK7" i="4"/>
  <c r="AO7" i="4" s="1"/>
  <c r="AQ7" i="4" s="1"/>
  <c r="AS7" i="4" s="1"/>
  <c r="AK8" i="4"/>
  <c r="AK9" i="4"/>
  <c r="AO9" i="4" s="1"/>
  <c r="AQ9" i="4" s="1"/>
  <c r="AS9" i="4" s="1"/>
  <c r="AK10" i="4"/>
  <c r="AK11" i="4"/>
  <c r="AO11" i="4" s="1"/>
  <c r="AQ11" i="4" s="1"/>
  <c r="AS11" i="4" s="1"/>
  <c r="AK12" i="4"/>
  <c r="AK13" i="4"/>
  <c r="AO13" i="4" s="1"/>
  <c r="AQ13" i="4" s="1"/>
  <c r="AS13" i="4" s="1"/>
  <c r="AK14" i="4"/>
  <c r="AK15" i="4"/>
  <c r="AO15" i="4" s="1"/>
  <c r="AQ15" i="4" s="1"/>
  <c r="AS15" i="4" s="1"/>
  <c r="AK16" i="4"/>
  <c r="AK17" i="4"/>
  <c r="AO17" i="4" s="1"/>
  <c r="AQ17" i="4" s="1"/>
  <c r="AS17" i="4" s="1"/>
  <c r="AK18" i="4"/>
  <c r="AK19" i="4"/>
  <c r="AO19" i="4" s="1"/>
  <c r="AQ19" i="4" s="1"/>
  <c r="AS19" i="4" s="1"/>
  <c r="AK20" i="4"/>
  <c r="AK21" i="4"/>
  <c r="AO21" i="4" s="1"/>
  <c r="AQ21" i="4" s="1"/>
  <c r="AS21" i="4" s="1"/>
  <c r="AK22" i="4"/>
  <c r="AK23" i="4"/>
  <c r="AO23" i="4" s="1"/>
  <c r="AQ23" i="4" s="1"/>
  <c r="AS23" i="4" s="1"/>
  <c r="AK24" i="4"/>
  <c r="AK25" i="4"/>
  <c r="AO25" i="4" s="1"/>
  <c r="AQ25" i="4" s="1"/>
  <c r="AS25" i="4" s="1"/>
  <c r="AK26" i="4"/>
  <c r="AK4" i="4"/>
  <c r="AO4" i="4" s="1"/>
  <c r="AQ4" i="4" s="1"/>
  <c r="AS4" i="4" s="1"/>
  <c r="J7" i="3"/>
  <c r="L7" i="3" s="1"/>
  <c r="J8" i="3"/>
  <c r="L8" i="3" s="1"/>
  <c r="J9" i="3"/>
  <c r="L9" i="3" s="1"/>
  <c r="J10" i="3"/>
  <c r="L10" i="3" s="1"/>
  <c r="M10" i="3" s="1"/>
  <c r="J11" i="3"/>
  <c r="L11" i="3" s="1"/>
  <c r="J12" i="3"/>
  <c r="L12" i="3" s="1"/>
  <c r="J13" i="3"/>
  <c r="L13" i="3" s="1"/>
  <c r="J14" i="3"/>
  <c r="L14" i="3" s="1"/>
  <c r="M14" i="3" s="1"/>
  <c r="J15" i="3"/>
  <c r="L15" i="3" s="1"/>
  <c r="J16" i="3"/>
  <c r="L16" i="3" s="1"/>
  <c r="J17" i="3"/>
  <c r="L17" i="3" s="1"/>
  <c r="J18" i="3"/>
  <c r="L18" i="3" s="1"/>
  <c r="M18" i="3" s="1"/>
  <c r="J19" i="3"/>
  <c r="L19" i="3" s="1"/>
  <c r="J20" i="3"/>
  <c r="L20" i="3" s="1"/>
  <c r="J21" i="3"/>
  <c r="L21" i="3" s="1"/>
  <c r="J22" i="3"/>
  <c r="L22" i="3" s="1"/>
  <c r="M22" i="3" s="1"/>
  <c r="J23" i="3"/>
  <c r="L23" i="3" s="1"/>
  <c r="J24" i="3"/>
  <c r="L24" i="3" s="1"/>
  <c r="J25" i="3"/>
  <c r="L25" i="3" s="1"/>
  <c r="J26" i="3"/>
  <c r="L26" i="3" s="1"/>
  <c r="M26" i="3" s="1"/>
  <c r="J27" i="3"/>
  <c r="L27" i="3" s="1"/>
  <c r="J28" i="3"/>
  <c r="L28" i="3" s="1"/>
  <c r="J6" i="3"/>
  <c r="L6" i="3" s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6" i="3"/>
  <c r="H28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6" i="3"/>
  <c r="D42" i="2"/>
  <c r="D41" i="2"/>
  <c r="D40" i="2"/>
  <c r="D39" i="2"/>
  <c r="D38" i="2"/>
  <c r="D37" i="2"/>
  <c r="D36" i="2"/>
  <c r="D35" i="2"/>
  <c r="D34" i="2"/>
  <c r="D33" i="2"/>
  <c r="D32" i="2"/>
  <c r="D31" i="2"/>
  <c r="J3" i="2"/>
  <c r="N3" i="2" s="1"/>
  <c r="J4" i="2"/>
  <c r="N4" i="2" s="1"/>
  <c r="J5" i="2"/>
  <c r="N5" i="2" s="1"/>
  <c r="J6" i="2"/>
  <c r="K6" i="2" s="1"/>
  <c r="L6" i="2" s="1"/>
  <c r="J7" i="2"/>
  <c r="N7" i="2" s="1"/>
  <c r="J8" i="2"/>
  <c r="N8" i="2" s="1"/>
  <c r="J9" i="2"/>
  <c r="K9" i="2" s="1"/>
  <c r="L9" i="2" s="1"/>
  <c r="J10" i="2"/>
  <c r="K10" i="2" s="1"/>
  <c r="L10" i="2" s="1"/>
  <c r="J11" i="2"/>
  <c r="N11" i="2" s="1"/>
  <c r="J12" i="2"/>
  <c r="K12" i="2" s="1"/>
  <c r="L12" i="2" s="1"/>
  <c r="J13" i="2"/>
  <c r="K13" i="2" s="1"/>
  <c r="L13" i="2" s="1"/>
  <c r="J14" i="2"/>
  <c r="K14" i="2" s="1"/>
  <c r="L14" i="2" s="1"/>
  <c r="J15" i="2"/>
  <c r="K15" i="2" s="1"/>
  <c r="L15" i="2" s="1"/>
  <c r="J16" i="2"/>
  <c r="N16" i="2" s="1"/>
  <c r="J17" i="2"/>
  <c r="N17" i="2" s="1"/>
  <c r="J18" i="2"/>
  <c r="K18" i="2" s="1"/>
  <c r="L18" i="2" s="1"/>
  <c r="J19" i="2"/>
  <c r="K19" i="2" s="1"/>
  <c r="L19" i="2" s="1"/>
  <c r="J20" i="2"/>
  <c r="N20" i="2" s="1"/>
  <c r="J21" i="2"/>
  <c r="N21" i="2" s="1"/>
  <c r="J2" i="2"/>
  <c r="K2" i="2" s="1"/>
  <c r="L2" i="2" s="1"/>
  <c r="L19" i="1"/>
  <c r="L20" i="1"/>
  <c r="L21" i="1"/>
  <c r="L22" i="1"/>
  <c r="L18" i="1"/>
  <c r="J19" i="1"/>
  <c r="O19" i="1" s="1"/>
  <c r="J20" i="1"/>
  <c r="K20" i="1" s="1"/>
  <c r="J21" i="1"/>
  <c r="M21" i="1" s="1"/>
  <c r="J22" i="1"/>
  <c r="O22" i="1" s="1"/>
  <c r="J4" i="1"/>
  <c r="K4" i="1" s="1"/>
  <c r="J5" i="1"/>
  <c r="M5" i="1" s="1"/>
  <c r="J6" i="1"/>
  <c r="O6" i="1" s="1"/>
  <c r="J7" i="1"/>
  <c r="M7" i="1" s="1"/>
  <c r="J8" i="1"/>
  <c r="M8" i="1" s="1"/>
  <c r="J9" i="1"/>
  <c r="M9" i="1" s="1"/>
  <c r="J10" i="1"/>
  <c r="O10" i="1" s="1"/>
  <c r="J11" i="1"/>
  <c r="O11" i="1" s="1"/>
  <c r="J12" i="1"/>
  <c r="M12" i="1" s="1"/>
  <c r="J13" i="1"/>
  <c r="M13" i="1" s="1"/>
  <c r="J14" i="1"/>
  <c r="O14" i="1" s="1"/>
  <c r="J15" i="1"/>
  <c r="O15" i="1" s="1"/>
  <c r="J16" i="1"/>
  <c r="O16" i="1" s="1"/>
  <c r="J17" i="1"/>
  <c r="M17" i="1" s="1"/>
  <c r="J3" i="1"/>
  <c r="O3" i="1" s="1"/>
  <c r="L17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3" i="1"/>
  <c r="AO24" i="4" l="1"/>
  <c r="AQ24" i="4" s="1"/>
  <c r="AS24" i="4" s="1"/>
  <c r="AO20" i="4"/>
  <c r="AQ20" i="4" s="1"/>
  <c r="AS20" i="4" s="1"/>
  <c r="AO16" i="4"/>
  <c r="AQ16" i="4" s="1"/>
  <c r="AS16" i="4" s="1"/>
  <c r="AO12" i="4"/>
  <c r="AQ12" i="4" s="1"/>
  <c r="AS12" i="4" s="1"/>
  <c r="AT12" i="4" s="1"/>
  <c r="AU12" i="4" s="1"/>
  <c r="AO8" i="4"/>
  <c r="AQ8" i="4" s="1"/>
  <c r="AS8" i="4" s="1"/>
  <c r="AO26" i="4"/>
  <c r="AQ26" i="4" s="1"/>
  <c r="AS26" i="4" s="1"/>
  <c r="AT26" i="4" s="1"/>
  <c r="AU26" i="4" s="1"/>
  <c r="AO22" i="4"/>
  <c r="AQ22" i="4" s="1"/>
  <c r="AS22" i="4" s="1"/>
  <c r="AO18" i="4"/>
  <c r="AQ18" i="4" s="1"/>
  <c r="AS18" i="4" s="1"/>
  <c r="AT18" i="4" s="1"/>
  <c r="AU18" i="4" s="1"/>
  <c r="AO14" i="4"/>
  <c r="AQ14" i="4" s="1"/>
  <c r="AS14" i="4" s="1"/>
  <c r="AO10" i="4"/>
  <c r="AQ10" i="4" s="1"/>
  <c r="AS10" i="4" s="1"/>
  <c r="AO6" i="4"/>
  <c r="AQ6" i="4" s="1"/>
  <c r="AS6" i="4" s="1"/>
  <c r="AU6" i="4" s="1"/>
  <c r="AT17" i="4"/>
  <c r="AU17" i="4" s="1"/>
  <c r="AT5" i="4"/>
  <c r="AU5" i="4" s="1"/>
  <c r="AT24" i="4"/>
  <c r="AU24" i="4" s="1"/>
  <c r="AT20" i="4"/>
  <c r="AU20" i="4" s="1"/>
  <c r="AT16" i="4"/>
  <c r="AU16" i="4" s="1"/>
  <c r="AT8" i="4"/>
  <c r="AU8" i="4"/>
  <c r="AT21" i="4"/>
  <c r="AU21" i="4" s="1"/>
  <c r="AT9" i="4"/>
  <c r="AU9" i="4" s="1"/>
  <c r="AT4" i="4"/>
  <c r="AU4" i="4" s="1"/>
  <c r="AT23" i="4"/>
  <c r="AU23" i="4"/>
  <c r="AT19" i="4"/>
  <c r="AU19" i="4" s="1"/>
  <c r="AT15" i="4"/>
  <c r="AU15" i="4"/>
  <c r="AT11" i="4"/>
  <c r="AU11" i="4"/>
  <c r="AT7" i="4"/>
  <c r="AU7" i="4"/>
  <c r="AT25" i="4"/>
  <c r="AU25" i="4" s="1"/>
  <c r="AT13" i="4"/>
  <c r="AU13" i="4" s="1"/>
  <c r="AT22" i="4"/>
  <c r="AU22" i="4"/>
  <c r="AT14" i="4"/>
  <c r="AU14" i="4" s="1"/>
  <c r="AT10" i="4"/>
  <c r="AU10" i="4"/>
  <c r="AT6" i="4"/>
  <c r="K6" i="3"/>
  <c r="K24" i="3"/>
  <c r="K20" i="3"/>
  <c r="K16" i="3"/>
  <c r="K12" i="3"/>
  <c r="K8" i="3"/>
  <c r="K27" i="3"/>
  <c r="K23" i="3"/>
  <c r="K19" i="3"/>
  <c r="K15" i="3"/>
  <c r="K11" i="3"/>
  <c r="K7" i="3"/>
  <c r="K26" i="3"/>
  <c r="K22" i="3"/>
  <c r="K18" i="3"/>
  <c r="K14" i="3"/>
  <c r="K10" i="3"/>
  <c r="K28" i="3"/>
  <c r="K25" i="3"/>
  <c r="K21" i="3"/>
  <c r="K17" i="3"/>
  <c r="K13" i="3"/>
  <c r="K9" i="3"/>
  <c r="M27" i="3"/>
  <c r="N27" i="3" s="1"/>
  <c r="M23" i="3"/>
  <c r="N23" i="3" s="1"/>
  <c r="M19" i="3"/>
  <c r="N19" i="3" s="1"/>
  <c r="M15" i="3"/>
  <c r="N15" i="3" s="1"/>
  <c r="M11" i="3"/>
  <c r="N11" i="3" s="1"/>
  <c r="M7" i="3"/>
  <c r="N7" i="3" s="1"/>
  <c r="M6" i="3"/>
  <c r="N6" i="3" s="1"/>
  <c r="M25" i="3"/>
  <c r="N25" i="3" s="1"/>
  <c r="M21" i="3"/>
  <c r="N21" i="3" s="1"/>
  <c r="M17" i="3"/>
  <c r="N17" i="3" s="1"/>
  <c r="M13" i="3"/>
  <c r="N13" i="3" s="1"/>
  <c r="O13" i="3" s="1"/>
  <c r="M9" i="3"/>
  <c r="N9" i="3" s="1"/>
  <c r="M28" i="3"/>
  <c r="N28" i="3" s="1"/>
  <c r="M24" i="3"/>
  <c r="N24" i="3" s="1"/>
  <c r="O24" i="3" s="1"/>
  <c r="M20" i="3"/>
  <c r="N20" i="3" s="1"/>
  <c r="M16" i="3"/>
  <c r="N16" i="3" s="1"/>
  <c r="O16" i="3" s="1"/>
  <c r="M12" i="3"/>
  <c r="N12" i="3" s="1"/>
  <c r="M8" i="3"/>
  <c r="N8" i="3" s="1"/>
  <c r="O8" i="3" s="1"/>
  <c r="N26" i="3"/>
  <c r="N22" i="3"/>
  <c r="N18" i="3"/>
  <c r="N14" i="3"/>
  <c r="N10" i="3"/>
  <c r="K17" i="2"/>
  <c r="L17" i="2" s="1"/>
  <c r="K5" i="2"/>
  <c r="L5" i="2" s="1"/>
  <c r="N19" i="2"/>
  <c r="N15" i="2"/>
  <c r="K11" i="2"/>
  <c r="L11" i="2" s="1"/>
  <c r="K20" i="2"/>
  <c r="L20" i="2" s="1"/>
  <c r="K8" i="2"/>
  <c r="L8" i="2" s="1"/>
  <c r="K4" i="2"/>
  <c r="L4" i="2" s="1"/>
  <c r="N18" i="2"/>
  <c r="N14" i="2"/>
  <c r="N9" i="2"/>
  <c r="K7" i="2"/>
  <c r="L7" i="2" s="1"/>
  <c r="K3" i="2"/>
  <c r="L3" i="2" s="1"/>
  <c r="N2" i="2"/>
  <c r="N13" i="2"/>
  <c r="N6" i="2"/>
  <c r="N12" i="2"/>
  <c r="N10" i="2"/>
  <c r="K21" i="2"/>
  <c r="L21" i="2" s="1"/>
  <c r="M20" i="2"/>
  <c r="M6" i="2"/>
  <c r="M9" i="2"/>
  <c r="M5" i="2"/>
  <c r="M15" i="2"/>
  <c r="M4" i="2"/>
  <c r="M16" i="2"/>
  <c r="M21" i="2"/>
  <c r="M11" i="2"/>
  <c r="M19" i="2"/>
  <c r="M13" i="2"/>
  <c r="M8" i="2"/>
  <c r="M3" i="2"/>
  <c r="M17" i="2"/>
  <c r="M12" i="2"/>
  <c r="M7" i="2"/>
  <c r="K16" i="2"/>
  <c r="L16" i="2" s="1"/>
  <c r="M2" i="2"/>
  <c r="M18" i="2"/>
  <c r="M14" i="2"/>
  <c r="M10" i="2"/>
  <c r="K3" i="1"/>
  <c r="M22" i="1"/>
  <c r="M20" i="1"/>
  <c r="K10" i="1"/>
  <c r="O20" i="1"/>
  <c r="K8" i="1"/>
  <c r="K16" i="1"/>
  <c r="K22" i="1"/>
  <c r="K12" i="1"/>
  <c r="K6" i="1"/>
  <c r="K14" i="1"/>
  <c r="O21" i="1"/>
  <c r="K21" i="1"/>
  <c r="K19" i="1"/>
  <c r="M19" i="1"/>
  <c r="J18" i="1"/>
  <c r="O18" i="1" s="1"/>
  <c r="K17" i="1"/>
  <c r="K15" i="1"/>
  <c r="K13" i="1"/>
  <c r="K11" i="1"/>
  <c r="O9" i="1"/>
  <c r="K9" i="1"/>
  <c r="K7" i="1"/>
  <c r="K5" i="1"/>
  <c r="O17" i="1"/>
  <c r="M14" i="1"/>
  <c r="M6" i="1"/>
  <c r="O13" i="1"/>
  <c r="O5" i="1"/>
  <c r="M10" i="1"/>
  <c r="M3" i="1"/>
  <c r="O7" i="1"/>
  <c r="M15" i="1"/>
  <c r="M11" i="1"/>
  <c r="M16" i="1"/>
  <c r="O12" i="1"/>
  <c r="O8" i="1"/>
  <c r="M4" i="1"/>
  <c r="O4" i="1"/>
  <c r="O27" i="3" l="1"/>
  <c r="O12" i="3"/>
  <c r="O10" i="3"/>
  <c r="O20" i="3"/>
  <c r="O22" i="3"/>
  <c r="O26" i="3"/>
  <c r="O6" i="3"/>
  <c r="O23" i="3"/>
  <c r="O7" i="3"/>
  <c r="O14" i="3"/>
  <c r="O9" i="3"/>
  <c r="O21" i="3"/>
  <c r="O11" i="3"/>
  <c r="O18" i="3"/>
  <c r="O25" i="3"/>
  <c r="O17" i="3"/>
  <c r="O15" i="3"/>
  <c r="O28" i="3"/>
  <c r="O19" i="3"/>
  <c r="N21" i="1"/>
  <c r="N12" i="1"/>
  <c r="N14" i="1"/>
  <c r="K18" i="1"/>
  <c r="N5" i="1"/>
  <c r="N11" i="1"/>
  <c r="N9" i="1"/>
  <c r="N15" i="1"/>
  <c r="N4" i="1"/>
  <c r="N20" i="1"/>
  <c r="N13" i="1"/>
  <c r="N6" i="1"/>
  <c r="N22" i="1"/>
  <c r="N19" i="1"/>
  <c r="N16" i="1"/>
  <c r="N18" i="1"/>
  <c r="M18" i="1"/>
  <c r="N8" i="1"/>
  <c r="N17" i="1"/>
  <c r="N10" i="1"/>
  <c r="N7" i="1"/>
  <c r="N3" i="1"/>
</calcChain>
</file>

<file path=xl/sharedStrings.xml><?xml version="1.0" encoding="utf-8"?>
<sst xmlns="http://schemas.openxmlformats.org/spreadsheetml/2006/main" count="957" uniqueCount="202">
  <si>
    <t>ROLL NO.</t>
  </si>
  <si>
    <t>NAME</t>
  </si>
  <si>
    <t>CLASS</t>
  </si>
  <si>
    <t>S.NO</t>
  </si>
  <si>
    <t>DIVISION</t>
  </si>
  <si>
    <t>ACCOUNTANCY</t>
  </si>
  <si>
    <t>ENGLISH</t>
  </si>
  <si>
    <t>MATHS</t>
  </si>
  <si>
    <t>ECONOMICS</t>
  </si>
  <si>
    <t>BUSINESS STUDIES</t>
  </si>
  <si>
    <t>TOTAL</t>
  </si>
  <si>
    <t>AVERAGE</t>
  </si>
  <si>
    <t>GRADE</t>
  </si>
  <si>
    <t>RESULT</t>
  </si>
  <si>
    <t>A</t>
  </si>
  <si>
    <t>VIRAT</t>
  </si>
  <si>
    <t>VARUN</t>
  </si>
  <si>
    <t>ROHIT</t>
  </si>
  <si>
    <t>RAHUL</t>
  </si>
  <si>
    <t>SMRITI</t>
  </si>
  <si>
    <t>MANISHA</t>
  </si>
  <si>
    <t>RUPAL</t>
  </si>
  <si>
    <t>ANCHAL</t>
  </si>
  <si>
    <t>VASSU</t>
  </si>
  <si>
    <t>SHALU</t>
  </si>
  <si>
    <t>SHALINI</t>
  </si>
  <si>
    <t>ANKIT</t>
  </si>
  <si>
    <t>ALKA</t>
  </si>
  <si>
    <t>ABHI</t>
  </si>
  <si>
    <t>CHETAN</t>
  </si>
  <si>
    <t>DEEPAK</t>
  </si>
  <si>
    <t>RANK</t>
  </si>
  <si>
    <t>PERCENTAGE</t>
  </si>
  <si>
    <t>SANJAY</t>
  </si>
  <si>
    <t>KARTIK</t>
  </si>
  <si>
    <t>ROHAN</t>
  </si>
  <si>
    <t>MAHI</t>
  </si>
  <si>
    <t>YUVRAJ</t>
  </si>
  <si>
    <t>A+</t>
  </si>
  <si>
    <t>PASS</t>
  </si>
  <si>
    <t>POOJA</t>
  </si>
  <si>
    <t>RONAK</t>
  </si>
  <si>
    <t>KRISHNA</t>
  </si>
  <si>
    <t>SHYAM</t>
  </si>
  <si>
    <t>RISHAB</t>
  </si>
  <si>
    <t>JATIN</t>
  </si>
  <si>
    <t>FAIZAL</t>
  </si>
  <si>
    <t>HARSH</t>
  </si>
  <si>
    <t>FAHMAAN</t>
  </si>
  <si>
    <t>HARSHITA</t>
  </si>
  <si>
    <t>12TH</t>
  </si>
  <si>
    <t>D</t>
  </si>
  <si>
    <t>E</t>
  </si>
  <si>
    <t>C</t>
  </si>
  <si>
    <t>B</t>
  </si>
  <si>
    <t>SEX</t>
  </si>
  <si>
    <t>BASIC SALARY</t>
  </si>
  <si>
    <t>DA</t>
  </si>
  <si>
    <t>HRA</t>
  </si>
  <si>
    <t>PF</t>
  </si>
  <si>
    <t>GROSS SALARY</t>
  </si>
  <si>
    <t>EPF</t>
  </si>
  <si>
    <t>LIC</t>
  </si>
  <si>
    <t>TOTAL DEDUCTION</t>
  </si>
  <si>
    <t>NET SALARY</t>
  </si>
  <si>
    <t>MR. VARUN</t>
  </si>
  <si>
    <t>MRS.ALIA</t>
  </si>
  <si>
    <t>MR.SIDHART</t>
  </si>
  <si>
    <t>MRS.PARUL</t>
  </si>
  <si>
    <t>MR.KRISHNA</t>
  </si>
  <si>
    <t>MR. SAMEER</t>
  </si>
  <si>
    <t>MRS. KAMLESH</t>
  </si>
  <si>
    <t>MR.KARTIK</t>
  </si>
  <si>
    <t>MR. HIMANSHU</t>
  </si>
  <si>
    <t>MR. AYUSH</t>
  </si>
  <si>
    <t>MRS. GUNJAN</t>
  </si>
  <si>
    <t>MR. MAHENDRA</t>
  </si>
  <si>
    <t>MRS. RIYA</t>
  </si>
  <si>
    <t>MR. YUVRAJ</t>
  </si>
  <si>
    <t>MRS. SUNITA</t>
  </si>
  <si>
    <t>MR. RONY</t>
  </si>
  <si>
    <t>MRS. DIYA</t>
  </si>
  <si>
    <t>MRS. ABHISHA</t>
  </si>
  <si>
    <t>MR. SHOLKA</t>
  </si>
  <si>
    <t>MRS. FAIZY</t>
  </si>
  <si>
    <t>MR. RONAK</t>
  </si>
  <si>
    <t>MR. ROCKY</t>
  </si>
  <si>
    <t>MR. RANBEER</t>
  </si>
  <si>
    <t>MALE</t>
  </si>
  <si>
    <t>FEMALE</t>
  </si>
  <si>
    <t>ABC PVT LMT.</t>
  </si>
  <si>
    <t>FOR THE MONTH OF JANUARY</t>
  </si>
  <si>
    <t>EMPLOYEE NAME</t>
  </si>
  <si>
    <t>EMPLOYEE ID</t>
  </si>
  <si>
    <t>DATE</t>
  </si>
  <si>
    <t>DAYS</t>
  </si>
  <si>
    <t>MON</t>
  </si>
  <si>
    <t>TUE</t>
  </si>
  <si>
    <t>WED</t>
  </si>
  <si>
    <t>THU</t>
  </si>
  <si>
    <t>FRI</t>
  </si>
  <si>
    <t>SAT</t>
  </si>
  <si>
    <t>SUN</t>
  </si>
  <si>
    <t>P</t>
  </si>
  <si>
    <t>H</t>
  </si>
  <si>
    <t>PRESENCE</t>
  </si>
  <si>
    <t>HALF DAY</t>
  </si>
  <si>
    <t>ABSENCE</t>
  </si>
  <si>
    <t>OFF</t>
  </si>
  <si>
    <t>TOTAL PAID DAYS</t>
  </si>
  <si>
    <t>PER DAY SALARY</t>
  </si>
  <si>
    <t>TOTAL SALARY</t>
  </si>
  <si>
    <t>ESI=1.75%</t>
  </si>
  <si>
    <t>Column1</t>
  </si>
  <si>
    <t>Column2</t>
  </si>
  <si>
    <t>Column4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</si>
  <si>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</si>
  <si>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</si>
  <si>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</si>
  <si>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</si>
  <si>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</si>
  <si>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</si>
  <si>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</si>
  <si>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</si>
  <si>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</si>
  <si>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</si>
  <si>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</si>
  <si>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</si>
  <si>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</si>
  <si>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</si>
  <si>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</si>
  <si>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</si>
  <si>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</si>
  <si>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</si>
  <si>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</si>
  <si>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</si>
  <si>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</si>
  <si>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</si>
  <si>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</si>
  <si>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</si>
  <si>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</si>
  <si>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</si>
  <si>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</si>
  <si>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</si>
  <si>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</si>
  <si>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</si>
  <si>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</si>
  <si>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</si>
  <si>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</si>
  <si>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</si>
  <si>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</si>
  <si>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</si>
  <si>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</si>
  <si>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</si>
  <si>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</si>
  <si>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</si>
  <si>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</si>
  <si>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</si>
  <si>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</si>
  <si>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</si>
  <si>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AS1234</t>
  </si>
  <si>
    <t>AS1235</t>
  </si>
  <si>
    <t>AS1236</t>
  </si>
  <si>
    <t>AS1237</t>
  </si>
  <si>
    <t>AS1238</t>
  </si>
  <si>
    <t>AS1239</t>
  </si>
  <si>
    <t>AS1240</t>
  </si>
  <si>
    <t>AS1241</t>
  </si>
  <si>
    <t>AS1242</t>
  </si>
  <si>
    <t>AS1243</t>
  </si>
  <si>
    <t>AS1244</t>
  </si>
  <si>
    <t>AS1245</t>
  </si>
  <si>
    <t>AS1246</t>
  </si>
  <si>
    <t>AS1247</t>
  </si>
  <si>
    <t>AS1248</t>
  </si>
  <si>
    <t>AS1249</t>
  </si>
  <si>
    <t>AS1250</t>
  </si>
  <si>
    <t>AS1251</t>
  </si>
  <si>
    <t>AS1252</t>
  </si>
  <si>
    <t>AS1253</t>
  </si>
  <si>
    <t>AS1254</t>
  </si>
  <si>
    <t>AS1255</t>
  </si>
  <si>
    <t>AS1256</t>
  </si>
  <si>
    <t>Marksheet</t>
  </si>
  <si>
    <t>Name</t>
  </si>
  <si>
    <t>Class</t>
  </si>
  <si>
    <t>Hindi</t>
  </si>
  <si>
    <t>English</t>
  </si>
  <si>
    <t>Science</t>
  </si>
  <si>
    <t>SST</t>
  </si>
  <si>
    <t>Maths</t>
  </si>
  <si>
    <t>Total</t>
  </si>
  <si>
    <t>Percentage</t>
  </si>
  <si>
    <t>Grade</t>
  </si>
  <si>
    <t>Rahul</t>
  </si>
  <si>
    <t>Ram</t>
  </si>
  <si>
    <t>Mohan</t>
  </si>
  <si>
    <t>Sohan</t>
  </si>
  <si>
    <t>Ramu</t>
  </si>
  <si>
    <t>Jai</t>
  </si>
  <si>
    <t>Shree</t>
  </si>
  <si>
    <t>11th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</si>
</sst>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2"/>
      <color theme="4" tint="-0.249977111117893"/>
      <name val="Algerian"/>
      <family val="5"/>
    </font>
    <font>
      <sz val="12"/>
      <color theme="4" tint="-0.249977111117893"/>
      <name val="Bahnschrift Condensed"/>
      <family val="2"/>
    </font>
    <font>
      <b/>
      <sz val="2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5" borderId="1" xfId="0" applyFont="1" applyFill="1" applyBorder="1"/>
    <xf numFmtId="0" fontId="1" fillId="3" borderId="1" xfId="0" applyFont="1" applyFill="1" applyBorder="1"/>
    <xf numFmtId="0" fontId="1" fillId="0" borderId="1" xfId="0" applyFont="1" applyBorder="1"/>
    <xf numFmtId="0" fontId="1" fillId="4" borderId="1" xfId="0" applyFont="1" applyFill="1" applyBorder="1"/>
    <xf numFmtId="0" fontId="0" fillId="5" borderId="1" xfId="0" applyFill="1" applyBorder="1"/>
    <xf numFmtId="9" fontId="0" fillId="5" borderId="1" xfId="0" applyNumberFormat="1" applyFill="1" applyBorder="1"/>
    <xf numFmtId="9" fontId="0" fillId="0" borderId="1" xfId="0" applyNumberFormat="1" applyBorder="1"/>
    <xf numFmtId="0" fontId="0" fillId="4" borderId="1" xfId="0" applyFill="1" applyBorder="1"/>
    <xf numFmtId="0" fontId="1" fillId="4" borderId="0" xfId="0" applyFont="1" applyFill="1"/>
    <xf numFmtId="0" fontId="0" fillId="4" borderId="0" xfId="0" applyFill="1"/>
    <xf numFmtId="0" fontId="2" fillId="2" borderId="1" xfId="0" applyFont="1" applyFill="1" applyBorder="1"/>
    <xf numFmtId="0" fontId="2" fillId="2" borderId="2" xfId="0" applyFont="1" applyFill="1" applyBorder="1"/>
    <xf numFmtId="9" fontId="0" fillId="4" borderId="0" xfId="0" applyNumberFormat="1" applyFill="1"/>
    <xf numFmtId="0" fontId="0" fillId="0" borderId="0" xfId="0" applyAlignment="1">
      <alignment horizontal="left"/>
    </xf>
    <xf numFmtId="0" fontId="0" fillId="6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6" borderId="1" xfId="0" applyFill="1" applyBorder="1" applyAlignment="1">
      <alignment horizontal="left" wrapText="1"/>
    </xf>
    <xf numFmtId="0" fontId="0" fillId="0" borderId="0" xfId="0" applyAlignment="1">
      <alignment wrapText="1"/>
    </xf>
    <xf numFmtId="1" fontId="0" fillId="0" borderId="0" xfId="0" applyNumberFormat="1"/>
    <xf numFmtId="1" fontId="0" fillId="0" borderId="1" xfId="0" applyNumberFormat="1" applyBorder="1"/>
    <xf numFmtId="0" fontId="0" fillId="0" borderId="3" xfId="0" applyBorder="1"/>
    <xf numFmtId="1" fontId="0" fillId="0" borderId="4" xfId="0" applyNumberFormat="1" applyBorder="1"/>
    <xf numFmtId="0" fontId="0" fillId="0" borderId="8" xfId="0" applyBorder="1"/>
    <xf numFmtId="0" fontId="0" fillId="0" borderId="2" xfId="0" applyBorder="1"/>
    <xf numFmtId="1" fontId="0" fillId="0" borderId="2" xfId="0" applyNumberFormat="1" applyBorder="1"/>
    <xf numFmtId="1" fontId="0" fillId="0" borderId="9" xfId="0" applyNumberFormat="1" applyBorder="1"/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0" xfId="0" applyAlignment="1">
      <alignment horizontal="center" wrapText="1"/>
    </xf>
    <xf numFmtId="0" fontId="0" fillId="7" borderId="0" xfId="0" applyFill="1"/>
    <xf numFmtId="0" fontId="0" fillId="8" borderId="0" xfId="0" applyFill="1"/>
    <xf numFmtId="0" fontId="0" fillId="7" borderId="0" xfId="0" applyFill="1" applyAlignment="1">
      <alignment wrapText="1"/>
    </xf>
    <xf numFmtId="0" fontId="0" fillId="0" borderId="0" xfId="0" applyAlignment="1">
      <alignment vertical="center" wrapText="1"/>
    </xf>
    <xf numFmtId="0" fontId="0" fillId="7" borderId="0" xfId="0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horizontal="center" wrapText="1"/>
    </xf>
    <xf numFmtId="0" fontId="0" fillId="9" borderId="0" xfId="0" applyFill="1" applyAlignment="1">
      <alignment wrapText="1"/>
    </xf>
    <xf numFmtId="0" fontId="0" fillId="10" borderId="0" xfId="0" applyFill="1" applyAlignment="1">
      <alignment vertical="center" wrapText="1"/>
    </xf>
    <xf numFmtId="0" fontId="0" fillId="10" borderId="0" xfId="0" applyFill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7" fillId="11" borderId="1" xfId="0" applyFont="1" applyFill="1" applyBorder="1" applyAlignment="1">
      <alignment horizontal="center"/>
    </xf>
  </cellXfs>
  <cellStyles count="1">
    <cellStyle name="Norma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9933"/>
      <color rgb="FFCC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25</xdr:row>
          <xdr:rowOff>152400</xdr:rowOff>
        </xdr:from>
        <xdr:to>
          <xdr:col>3</xdr:col>
          <xdr:colOff>476250</xdr:colOff>
          <xdr:row>28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22</xdr:row>
          <xdr:rowOff>533400</xdr:rowOff>
        </xdr:from>
        <xdr:to>
          <xdr:col>1</xdr:col>
          <xdr:colOff>381000</xdr:colOff>
          <xdr:row>28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D5:O28" totalsRowShown="0" headerRowDxfId="38" headerRowBorderDxfId="37" tableBorderDxfId="36" totalsRowBorderDxfId="35">
  <tableColumns count="12">
    <tableColumn id="1" name="S.NO" dataDxfId="34"/>
    <tableColumn id="2" name="NAME" dataDxfId="33"/>
    <tableColumn id="3" name="SEX" dataDxfId="32"/>
    <tableColumn id="4" name="BASIC SALARY" dataDxfId="31"/>
    <tableColumn id="5" name="DA" dataDxfId="30">
      <calculatedColumnFormula>G6*10/100</calculatedColumnFormula>
    </tableColumn>
    <tableColumn id="6" name="HRA" dataDxfId="29">
      <calculatedColumnFormula>G6*7.5/100</calculatedColumnFormula>
    </tableColumn>
    <tableColumn id="7" name="PF" dataDxfId="28">
      <calculatedColumnFormula>G6*15/100</calculatedColumnFormula>
    </tableColumn>
    <tableColumn id="8" name="GROSS SALARY" dataDxfId="27">
      <calculatedColumnFormula>SUM(G6:J6)</calculatedColumnFormula>
    </tableColumn>
    <tableColumn id="9" name="EPF" dataDxfId="26">
      <calculatedColumnFormula>J6/2</calculatedColumnFormula>
    </tableColumn>
    <tableColumn id="10" name="LIC" dataDxfId="25">
      <calculatedColumnFormula>L6/2</calculatedColumnFormula>
    </tableColumn>
    <tableColumn id="11" name="TOTAL DEDUCTION" dataDxfId="24">
      <calculatedColumnFormula>SUM(L6:M6)</calculatedColumnFormula>
    </tableColumn>
    <tableColumn id="12" name="NET SALARY" dataDxfId="23">
      <calculatedColumnFormula>K6-N6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AU26" totalsRowShown="0" headerRowDxfId="20">
  <autoFilter ref="A1:AU26"/>
  <tableColumns count="47">
    <tableColumn id="1" name="Column1"/>
    <tableColumn id="2" name="Column2" dataDxfId="19"/>
    <tableColumn id="4" name="Column4"/>
    <tableColumn id="6" name="Column6"/>
    <tableColumn id="7" name="Column7" dataDxfId="18"/>
    <tableColumn id="8" name="Column8" dataDxfId="17"/>
    <tableColumn id="9" name="Column9"/>
    <tableColumn id="10" name="Column10"/>
    <tableColumn id="11" name="Column11"/>
    <tableColumn id="12" name="Column12"/>
    <tableColumn id="13" name="Column13"/>
    <tableColumn id="14" name="Column14" dataDxfId="16"/>
    <tableColumn id="15" name="Column15" dataDxfId="15"/>
    <tableColumn id="16" name="Column16"/>
    <tableColumn id="17" name="Column17" dataDxfId="14"/>
    <tableColumn id="18" name="Column18" dataDxfId="13"/>
    <tableColumn id="19" name="Column19"/>
    <tableColumn id="20" name="Column20"/>
    <tableColumn id="21" name="Column21" dataDxfId="12"/>
    <tableColumn id="22" name="Column22" dataDxfId="11"/>
    <tableColumn id="23" name="Column23"/>
    <tableColumn id="24" name="Column24" dataDxfId="10"/>
    <tableColumn id="25" name="Column25" dataDxfId="9"/>
    <tableColumn id="26" name="Column26" dataDxfId="8"/>
    <tableColumn id="27" name="Column27"/>
    <tableColumn id="28" name="Column28" dataDxfId="7"/>
    <tableColumn id="29" name="Column29" dataDxfId="6"/>
    <tableColumn id="30" name="Column30"/>
    <tableColumn id="31" name="Column31"/>
    <tableColumn id="32" name="Column32"/>
    <tableColumn id="33" name="Column33"/>
    <tableColumn id="34" name="Column34"/>
    <tableColumn id="35" name="Column35" dataDxfId="5"/>
    <tableColumn id="36" name="Column36" dataDxfId="4"/>
    <tableColumn id="37" name="Column37"/>
    <tableColumn id="38" name="Column38"/>
    <tableColumn id="39" name="Column39">
      <calculatedColumnFormula>COUNTIF(E2:AI2,"P")</calculatedColumnFormula>
    </tableColumn>
    <tableColumn id="40" name="Column40">
      <calculatedColumnFormula>COUNTIF(E2:AI2,"H")*0.5</calculatedColumnFormula>
    </tableColumn>
    <tableColumn id="41" name="Column41">
      <calculatedColumnFormula>COUNTIF(E2:AI2,"A")</calculatedColumnFormula>
    </tableColumn>
    <tableColumn id="42" name="Column42">
      <calculatedColumnFormula>COUNTIF(E2:AI2,"")</calculatedColumnFormula>
    </tableColumn>
    <tableColumn id="43" name="Column43">
      <calculatedColumnFormula>AK2+AL2+AN2</calculatedColumnFormula>
    </tableColumn>
    <tableColumn id="44" name="Column44">
      <calculatedColumnFormula>AJ2/31</calculatedColumnFormula>
    </tableColumn>
    <tableColumn id="45" name="Column45" dataDxfId="3">
      <calculatedColumnFormula>AO2*AP2</calculatedColumnFormula>
    </tableColumn>
    <tableColumn id="46" name="Column46">
      <calculatedColumnFormula>IF(AJ2&gt;=60000,"5000","2500")</calculatedColumnFormula>
    </tableColumn>
    <tableColumn id="47" name="Column47" dataDxfId="2">
      <calculatedColumnFormula>AQ2+AR2</calculatedColumnFormula>
    </tableColumn>
    <tableColumn id="48" name="Column48" dataDxfId="1">
      <calculatedColumnFormula>AS2*1.75%</calculatedColumnFormula>
    </tableColumn>
    <tableColumn id="49" name="Column49" dataDxfId="0">
      <calculatedColumnFormula>AS2-AT2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S47"/>
  <sheetViews>
    <sheetView showGridLines="0" workbookViewId="0">
      <selection activeCell="B28" sqref="B28"/>
    </sheetView>
  </sheetViews>
  <sheetFormatPr defaultRowHeight="15"/>
  <cols>
    <col min="2" max="2" width="13.85546875" customWidth="1"/>
    <col min="5" max="5" width="15.140625" customWidth="1"/>
    <col min="6" max="6" width="13.28515625" customWidth="1"/>
    <col min="8" max="8" width="11.28515625" bestFit="1" customWidth="1"/>
    <col min="9" max="9" width="16.140625" customWidth="1"/>
    <col min="11" max="11" width="12.42578125" customWidth="1"/>
  </cols>
  <sheetData>
    <row r="2" spans="1:16">
      <c r="A2" s="13" t="s">
        <v>3</v>
      </c>
      <c r="B2" s="14" t="s">
        <v>4</v>
      </c>
      <c r="C2" s="13" t="s">
        <v>0</v>
      </c>
      <c r="D2" s="13" t="s">
        <v>1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3" t="s">
        <v>10</v>
      </c>
      <c r="K2" s="13" t="s">
        <v>32</v>
      </c>
      <c r="L2" s="13" t="s">
        <v>11</v>
      </c>
      <c r="M2" s="13" t="s">
        <v>12</v>
      </c>
      <c r="N2" s="13" t="s">
        <v>31</v>
      </c>
      <c r="O2" s="13" t="s">
        <v>13</v>
      </c>
    </row>
    <row r="3" spans="1:16" ht="13.9" customHeight="1">
      <c r="A3" s="7">
        <v>1</v>
      </c>
      <c r="B3" s="7" t="s">
        <v>14</v>
      </c>
      <c r="C3" s="7">
        <v>1</v>
      </c>
      <c r="D3" s="7" t="s">
        <v>15</v>
      </c>
      <c r="E3" s="7">
        <v>100</v>
      </c>
      <c r="F3" s="7">
        <v>100</v>
      </c>
      <c r="G3" s="7">
        <v>99</v>
      </c>
      <c r="H3" s="7">
        <v>95</v>
      </c>
      <c r="I3" s="7">
        <v>95</v>
      </c>
      <c r="J3" s="7">
        <f t="shared" ref="J3:J18" si="0">SUM(E3:I3)</f>
        <v>489</v>
      </c>
      <c r="K3" s="8">
        <f t="shared" ref="K3:K18" si="1">(J3/5)*0.01</f>
        <v>0.97799999999999998</v>
      </c>
      <c r="L3" s="7">
        <f t="shared" ref="L3:L18" si="2">AVERAGE(E3:I3)</f>
        <v>97.8</v>
      </c>
      <c r="M3" s="7" t="str">
        <f>IF(J3&gt;=450,"A+",IF(J3&gt;=400,"A",IF(J3&gt;=350,"B+",IF(J3&gt;=300,"B",IF(J3&gt;=250,"C",IF(J3&gt;=200,"D","F"))))))</f>
        <v>A+</v>
      </c>
      <c r="N3" s="3">
        <f>RANK(J3,$J$3:$J$22)</f>
        <v>3</v>
      </c>
      <c r="O3" s="4" t="str">
        <f t="shared" ref="O3:O18" si="3">IF(J3&gt;=220,"PASS","FAIL")</f>
        <v>PASS</v>
      </c>
      <c r="P3" s="1"/>
    </row>
    <row r="4" spans="1:16">
      <c r="A4" s="2">
        <v>2</v>
      </c>
      <c r="B4" s="2" t="s">
        <v>14</v>
      </c>
      <c r="C4" s="2">
        <v>2</v>
      </c>
      <c r="D4" s="2" t="s">
        <v>16</v>
      </c>
      <c r="E4" s="2">
        <v>56</v>
      </c>
      <c r="F4" s="2">
        <v>28</v>
      </c>
      <c r="G4" s="2">
        <v>90</v>
      </c>
      <c r="H4" s="2">
        <v>88</v>
      </c>
      <c r="I4" s="2">
        <v>64</v>
      </c>
      <c r="J4" s="2">
        <f t="shared" si="0"/>
        <v>326</v>
      </c>
      <c r="K4" s="9">
        <f t="shared" si="1"/>
        <v>0.65200000000000002</v>
      </c>
      <c r="L4" s="2">
        <f t="shared" si="2"/>
        <v>65.2</v>
      </c>
      <c r="M4" s="2" t="str">
        <f t="shared" ref="M4:M22" si="4">IF(J4&gt;=450,"A+",IF(J4&gt;=400,"A",IF(J4&gt;=350,"B+",IF(J4&gt;=300,"B",IF(J4&gt;=250,"C",IF(J4&gt;=200,"D","F"))))))</f>
        <v>B</v>
      </c>
      <c r="N4" s="6">
        <f t="shared" ref="N4:N22" si="5">RANK(J4,$J$3:$J$22)</f>
        <v>6</v>
      </c>
      <c r="O4" s="5" t="str">
        <f t="shared" si="3"/>
        <v>PASS</v>
      </c>
    </row>
    <row r="5" spans="1:16">
      <c r="A5" s="7">
        <v>3</v>
      </c>
      <c r="B5" s="7" t="s">
        <v>14</v>
      </c>
      <c r="C5" s="7">
        <v>3</v>
      </c>
      <c r="D5" s="7" t="s">
        <v>17</v>
      </c>
      <c r="E5" s="7">
        <v>41</v>
      </c>
      <c r="F5" s="7">
        <v>27</v>
      </c>
      <c r="G5" s="7">
        <v>92</v>
      </c>
      <c r="H5" s="7">
        <v>71</v>
      </c>
      <c r="I5" s="7">
        <v>66</v>
      </c>
      <c r="J5" s="7">
        <f t="shared" si="0"/>
        <v>297</v>
      </c>
      <c r="K5" s="7">
        <f t="shared" si="1"/>
        <v>0.59399999999999997</v>
      </c>
      <c r="L5" s="7">
        <f t="shared" si="2"/>
        <v>59.4</v>
      </c>
      <c r="M5" s="7" t="str">
        <f t="shared" si="4"/>
        <v>C</v>
      </c>
      <c r="N5" s="3">
        <f t="shared" si="5"/>
        <v>10</v>
      </c>
      <c r="O5" s="5" t="str">
        <f t="shared" si="3"/>
        <v>PASS</v>
      </c>
    </row>
    <row r="6" spans="1:16">
      <c r="A6" s="2">
        <v>4</v>
      </c>
      <c r="B6" s="2" t="s">
        <v>14</v>
      </c>
      <c r="C6" s="2">
        <v>4</v>
      </c>
      <c r="D6" s="2" t="s">
        <v>18</v>
      </c>
      <c r="E6" s="2">
        <v>90</v>
      </c>
      <c r="F6" s="2">
        <v>51</v>
      </c>
      <c r="G6" s="2">
        <v>84</v>
      </c>
      <c r="H6" s="2">
        <v>55</v>
      </c>
      <c r="I6" s="2">
        <v>73</v>
      </c>
      <c r="J6" s="2">
        <f t="shared" si="0"/>
        <v>353</v>
      </c>
      <c r="K6" s="9">
        <f t="shared" si="1"/>
        <v>0.70599999999999996</v>
      </c>
      <c r="L6" s="2">
        <f t="shared" si="2"/>
        <v>70.599999999999994</v>
      </c>
      <c r="M6" s="2" t="str">
        <f t="shared" si="4"/>
        <v>B+</v>
      </c>
      <c r="N6" s="6">
        <f t="shared" si="5"/>
        <v>5</v>
      </c>
      <c r="O6" s="5" t="str">
        <f t="shared" si="3"/>
        <v>PASS</v>
      </c>
    </row>
    <row r="7" spans="1:16">
      <c r="A7" s="7">
        <v>5</v>
      </c>
      <c r="B7" s="7" t="s">
        <v>14</v>
      </c>
      <c r="C7" s="7">
        <v>5</v>
      </c>
      <c r="D7" s="7" t="s">
        <v>19</v>
      </c>
      <c r="E7" s="7">
        <v>31</v>
      </c>
      <c r="F7" s="7">
        <v>91</v>
      </c>
      <c r="G7" s="7">
        <v>29</v>
      </c>
      <c r="H7" s="7">
        <v>70</v>
      </c>
      <c r="I7" s="7">
        <v>77</v>
      </c>
      <c r="J7" s="7">
        <f t="shared" si="0"/>
        <v>298</v>
      </c>
      <c r="K7" s="7">
        <f t="shared" si="1"/>
        <v>0.59599999999999997</v>
      </c>
      <c r="L7" s="7">
        <f t="shared" si="2"/>
        <v>59.6</v>
      </c>
      <c r="M7" s="7" t="str">
        <f t="shared" si="4"/>
        <v>C</v>
      </c>
      <c r="N7" s="3">
        <f t="shared" si="5"/>
        <v>8</v>
      </c>
      <c r="O7" s="6" t="str">
        <f t="shared" si="3"/>
        <v>PASS</v>
      </c>
    </row>
    <row r="8" spans="1:16">
      <c r="A8" s="2">
        <v>6</v>
      </c>
      <c r="B8" s="2" t="s">
        <v>14</v>
      </c>
      <c r="C8" s="2">
        <v>6</v>
      </c>
      <c r="D8" s="2" t="s">
        <v>20</v>
      </c>
      <c r="E8" s="2">
        <v>10</v>
      </c>
      <c r="F8" s="2">
        <v>20</v>
      </c>
      <c r="G8" s="2">
        <v>30</v>
      </c>
      <c r="H8" s="2">
        <v>10</v>
      </c>
      <c r="I8" s="2">
        <v>50</v>
      </c>
      <c r="J8" s="2">
        <f t="shared" si="0"/>
        <v>120</v>
      </c>
      <c r="K8" s="9">
        <f t="shared" si="1"/>
        <v>0.24</v>
      </c>
      <c r="L8" s="2">
        <f t="shared" si="2"/>
        <v>24</v>
      </c>
      <c r="M8" s="2" t="str">
        <f t="shared" si="4"/>
        <v>F</v>
      </c>
      <c r="N8" s="6">
        <f t="shared" si="5"/>
        <v>19</v>
      </c>
      <c r="O8" s="5" t="str">
        <f t="shared" si="3"/>
        <v>FAIL</v>
      </c>
    </row>
    <row r="9" spans="1:16">
      <c r="A9" s="7">
        <v>7</v>
      </c>
      <c r="B9" s="7" t="s">
        <v>14</v>
      </c>
      <c r="C9" s="7">
        <v>7</v>
      </c>
      <c r="D9" s="7" t="s">
        <v>21</v>
      </c>
      <c r="E9" s="7">
        <v>44</v>
      </c>
      <c r="F9" s="7">
        <v>82</v>
      </c>
      <c r="G9" s="7">
        <v>90</v>
      </c>
      <c r="H9" s="7">
        <v>95</v>
      </c>
      <c r="I9" s="7">
        <v>50</v>
      </c>
      <c r="J9" s="7">
        <f t="shared" si="0"/>
        <v>361</v>
      </c>
      <c r="K9" s="7">
        <f t="shared" si="1"/>
        <v>0.72200000000000009</v>
      </c>
      <c r="L9" s="7">
        <f t="shared" si="2"/>
        <v>72.2</v>
      </c>
      <c r="M9" s="7" t="str">
        <f t="shared" si="4"/>
        <v>B+</v>
      </c>
      <c r="N9" s="3">
        <f t="shared" si="5"/>
        <v>4</v>
      </c>
      <c r="O9" s="4" t="str">
        <f t="shared" si="3"/>
        <v>PASS</v>
      </c>
    </row>
    <row r="10" spans="1:16">
      <c r="A10" s="2">
        <v>8</v>
      </c>
      <c r="B10" s="2" t="s">
        <v>14</v>
      </c>
      <c r="C10" s="2">
        <v>8</v>
      </c>
      <c r="D10" s="2" t="s">
        <v>22</v>
      </c>
      <c r="E10" s="2">
        <v>34</v>
      </c>
      <c r="F10" s="2">
        <v>38</v>
      </c>
      <c r="G10" s="2">
        <v>28</v>
      </c>
      <c r="H10" s="2">
        <v>60</v>
      </c>
      <c r="I10" s="2">
        <v>74</v>
      </c>
      <c r="J10" s="2">
        <f t="shared" si="0"/>
        <v>234</v>
      </c>
      <c r="K10" s="9">
        <f t="shared" si="1"/>
        <v>0.46799999999999997</v>
      </c>
      <c r="L10" s="2">
        <f t="shared" si="2"/>
        <v>46.8</v>
      </c>
      <c r="M10" s="2" t="str">
        <f t="shared" si="4"/>
        <v>D</v>
      </c>
      <c r="N10" s="6">
        <f t="shared" si="5"/>
        <v>15</v>
      </c>
      <c r="O10" s="5" t="str">
        <f t="shared" si="3"/>
        <v>PASS</v>
      </c>
    </row>
    <row r="11" spans="1:16">
      <c r="A11" s="7">
        <v>9</v>
      </c>
      <c r="B11" s="7" t="s">
        <v>14</v>
      </c>
      <c r="C11" s="7">
        <v>9</v>
      </c>
      <c r="D11" s="7" t="s">
        <v>23</v>
      </c>
      <c r="E11" s="7">
        <v>32</v>
      </c>
      <c r="F11" s="7">
        <v>94</v>
      </c>
      <c r="G11" s="7">
        <v>76</v>
      </c>
      <c r="H11" s="7">
        <v>68</v>
      </c>
      <c r="I11" s="7">
        <v>28</v>
      </c>
      <c r="J11" s="7">
        <f t="shared" si="0"/>
        <v>298</v>
      </c>
      <c r="K11" s="7">
        <f t="shared" si="1"/>
        <v>0.59599999999999997</v>
      </c>
      <c r="L11" s="7">
        <f t="shared" si="2"/>
        <v>59.6</v>
      </c>
      <c r="M11" s="7" t="str">
        <f t="shared" si="4"/>
        <v>C</v>
      </c>
      <c r="N11" s="3">
        <f t="shared" si="5"/>
        <v>8</v>
      </c>
      <c r="O11" s="4" t="str">
        <f t="shared" si="3"/>
        <v>PASS</v>
      </c>
    </row>
    <row r="12" spans="1:16">
      <c r="A12" s="2">
        <v>10</v>
      </c>
      <c r="B12" s="2" t="s">
        <v>14</v>
      </c>
      <c r="C12" s="2">
        <v>10</v>
      </c>
      <c r="D12" s="2" t="s">
        <v>25</v>
      </c>
      <c r="E12" s="2">
        <v>32</v>
      </c>
      <c r="F12" s="2">
        <v>68</v>
      </c>
      <c r="G12" s="2">
        <v>79</v>
      </c>
      <c r="H12" s="2">
        <v>47</v>
      </c>
      <c r="I12" s="2">
        <v>27</v>
      </c>
      <c r="J12" s="2">
        <f t="shared" si="0"/>
        <v>253</v>
      </c>
      <c r="K12" s="9">
        <f t="shared" si="1"/>
        <v>0.50600000000000001</v>
      </c>
      <c r="L12" s="2">
        <f t="shared" si="2"/>
        <v>50.6</v>
      </c>
      <c r="M12" s="2" t="str">
        <f t="shared" si="4"/>
        <v>C</v>
      </c>
      <c r="N12" s="6">
        <f t="shared" si="5"/>
        <v>13</v>
      </c>
      <c r="O12" s="5" t="str">
        <f t="shared" si="3"/>
        <v>PASS</v>
      </c>
    </row>
    <row r="13" spans="1:16">
      <c r="A13" s="7">
        <v>11</v>
      </c>
      <c r="B13" s="7" t="s">
        <v>14</v>
      </c>
      <c r="C13" s="7">
        <v>11</v>
      </c>
      <c r="D13" s="7" t="s">
        <v>26</v>
      </c>
      <c r="E13" s="7">
        <v>99</v>
      </c>
      <c r="F13" s="7">
        <v>96</v>
      </c>
      <c r="G13" s="7">
        <v>99</v>
      </c>
      <c r="H13" s="7">
        <v>100</v>
      </c>
      <c r="I13" s="7">
        <v>98</v>
      </c>
      <c r="J13" s="7">
        <f t="shared" si="0"/>
        <v>492</v>
      </c>
      <c r="K13" s="7">
        <f t="shared" si="1"/>
        <v>0.9840000000000001</v>
      </c>
      <c r="L13" s="7">
        <f t="shared" si="2"/>
        <v>98.4</v>
      </c>
      <c r="M13" s="7" t="str">
        <f t="shared" si="4"/>
        <v>A+</v>
      </c>
      <c r="N13" s="3">
        <f t="shared" si="5"/>
        <v>2</v>
      </c>
      <c r="O13" s="4" t="str">
        <f t="shared" si="3"/>
        <v>PASS</v>
      </c>
    </row>
    <row r="14" spans="1:16">
      <c r="A14" s="2">
        <v>12</v>
      </c>
      <c r="B14" s="2" t="s">
        <v>14</v>
      </c>
      <c r="C14" s="2">
        <v>12</v>
      </c>
      <c r="D14" s="2" t="s">
        <v>27</v>
      </c>
      <c r="E14" s="2">
        <v>99</v>
      </c>
      <c r="F14" s="2">
        <v>99</v>
      </c>
      <c r="G14" s="2">
        <v>98</v>
      </c>
      <c r="H14" s="2">
        <v>99</v>
      </c>
      <c r="I14" s="2">
        <v>100</v>
      </c>
      <c r="J14" s="2">
        <f t="shared" si="0"/>
        <v>495</v>
      </c>
      <c r="K14" s="9">
        <f t="shared" si="1"/>
        <v>0.99</v>
      </c>
      <c r="L14" s="2">
        <f t="shared" si="2"/>
        <v>99</v>
      </c>
      <c r="M14" s="2" t="str">
        <f t="shared" si="4"/>
        <v>A+</v>
      </c>
      <c r="N14" s="6">
        <f t="shared" si="5"/>
        <v>1</v>
      </c>
      <c r="O14" s="5" t="str">
        <f t="shared" si="3"/>
        <v>PASS</v>
      </c>
    </row>
    <row r="15" spans="1:16">
      <c r="A15" s="7">
        <v>13</v>
      </c>
      <c r="B15" s="7" t="s">
        <v>14</v>
      </c>
      <c r="C15" s="7">
        <v>13</v>
      </c>
      <c r="D15" s="7" t="s">
        <v>28</v>
      </c>
      <c r="E15" s="7">
        <v>50</v>
      </c>
      <c r="F15" s="7">
        <v>81</v>
      </c>
      <c r="G15" s="7">
        <v>47</v>
      </c>
      <c r="H15" s="7">
        <v>69</v>
      </c>
      <c r="I15" s="7">
        <v>67</v>
      </c>
      <c r="J15" s="7">
        <f t="shared" si="0"/>
        <v>314</v>
      </c>
      <c r="K15" s="7">
        <f t="shared" si="1"/>
        <v>0.628</v>
      </c>
      <c r="L15" s="7">
        <f t="shared" si="2"/>
        <v>62.8</v>
      </c>
      <c r="M15" s="7" t="str">
        <f t="shared" si="4"/>
        <v>B</v>
      </c>
      <c r="N15" s="3">
        <f t="shared" si="5"/>
        <v>7</v>
      </c>
      <c r="O15" s="4" t="str">
        <f t="shared" si="3"/>
        <v>PASS</v>
      </c>
    </row>
    <row r="16" spans="1:16">
      <c r="A16" s="2">
        <v>14</v>
      </c>
      <c r="B16" s="2" t="s">
        <v>14</v>
      </c>
      <c r="C16" s="2">
        <v>14</v>
      </c>
      <c r="D16" s="2" t="s">
        <v>29</v>
      </c>
      <c r="E16" s="2">
        <v>9</v>
      </c>
      <c r="F16" s="2">
        <v>8</v>
      </c>
      <c r="G16" s="2">
        <v>10</v>
      </c>
      <c r="H16" s="2">
        <v>40</v>
      </c>
      <c r="I16" s="2">
        <v>34</v>
      </c>
      <c r="J16" s="2">
        <f t="shared" si="0"/>
        <v>101</v>
      </c>
      <c r="K16" s="9">
        <f t="shared" si="1"/>
        <v>0.20199999999999999</v>
      </c>
      <c r="L16" s="2">
        <f t="shared" si="2"/>
        <v>20.2</v>
      </c>
      <c r="M16" s="2" t="str">
        <f t="shared" si="4"/>
        <v>F</v>
      </c>
      <c r="N16" s="6">
        <f t="shared" si="5"/>
        <v>20</v>
      </c>
      <c r="O16" s="5" t="str">
        <f t="shared" si="3"/>
        <v>FAIL</v>
      </c>
    </row>
    <row r="17" spans="1:19">
      <c r="A17" s="7">
        <v>15</v>
      </c>
      <c r="B17" s="7" t="s">
        <v>14</v>
      </c>
      <c r="C17" s="7">
        <v>15</v>
      </c>
      <c r="D17" s="7" t="s">
        <v>30</v>
      </c>
      <c r="E17" s="7">
        <v>31</v>
      </c>
      <c r="F17" s="7">
        <v>53</v>
      </c>
      <c r="G17" s="7">
        <v>58</v>
      </c>
      <c r="H17" s="7">
        <v>55</v>
      </c>
      <c r="I17" s="7">
        <v>40</v>
      </c>
      <c r="J17" s="7">
        <f t="shared" si="0"/>
        <v>237</v>
      </c>
      <c r="K17" s="7">
        <f t="shared" si="1"/>
        <v>0.47399999999999998</v>
      </c>
      <c r="L17" s="7">
        <f t="shared" si="2"/>
        <v>47.4</v>
      </c>
      <c r="M17" s="7" t="str">
        <f t="shared" si="4"/>
        <v>D</v>
      </c>
      <c r="N17" s="3">
        <f t="shared" si="5"/>
        <v>14</v>
      </c>
      <c r="O17" s="5" t="str">
        <f t="shared" si="3"/>
        <v>PASS</v>
      </c>
    </row>
    <row r="18" spans="1:19">
      <c r="A18" s="10">
        <v>15</v>
      </c>
      <c r="B18" s="10" t="s">
        <v>14</v>
      </c>
      <c r="C18" s="10">
        <v>16</v>
      </c>
      <c r="D18" s="10" t="s">
        <v>33</v>
      </c>
      <c r="E18" s="2">
        <v>81</v>
      </c>
      <c r="F18" s="2">
        <v>43</v>
      </c>
      <c r="G18" s="2">
        <v>84</v>
      </c>
      <c r="H18" s="2">
        <v>13</v>
      </c>
      <c r="I18" s="2">
        <v>10</v>
      </c>
      <c r="J18" s="2">
        <f t="shared" si="0"/>
        <v>231</v>
      </c>
      <c r="K18" s="9">
        <f t="shared" si="1"/>
        <v>0.46200000000000002</v>
      </c>
      <c r="L18" s="2">
        <f t="shared" si="2"/>
        <v>46.2</v>
      </c>
      <c r="M18" s="2" t="str">
        <f t="shared" si="4"/>
        <v>D</v>
      </c>
      <c r="N18" s="6">
        <f t="shared" si="5"/>
        <v>17</v>
      </c>
      <c r="O18" s="5" t="str">
        <f t="shared" si="3"/>
        <v>PASS</v>
      </c>
    </row>
    <row r="19" spans="1:19">
      <c r="A19" s="7">
        <v>15</v>
      </c>
      <c r="B19" s="7" t="s">
        <v>14</v>
      </c>
      <c r="C19" s="7">
        <v>17</v>
      </c>
      <c r="D19" s="7" t="s">
        <v>34</v>
      </c>
      <c r="E19" s="7">
        <v>58</v>
      </c>
      <c r="F19" s="7">
        <v>47</v>
      </c>
      <c r="G19" s="7">
        <v>76</v>
      </c>
      <c r="H19" s="7">
        <v>64</v>
      </c>
      <c r="I19" s="7">
        <v>44</v>
      </c>
      <c r="J19" s="7">
        <f t="shared" ref="J19:J22" si="6">SUM(E19:I19)</f>
        <v>289</v>
      </c>
      <c r="K19" s="7">
        <f t="shared" ref="K19:K22" si="7">(J19/5)*0.01</f>
        <v>0.57799999999999996</v>
      </c>
      <c r="L19" s="7">
        <f t="shared" ref="L19:L22" si="8">AVERAGE(E19:I19)</f>
        <v>57.8</v>
      </c>
      <c r="M19" s="7" t="str">
        <f t="shared" si="4"/>
        <v>C</v>
      </c>
      <c r="N19" s="3">
        <f t="shared" si="5"/>
        <v>11</v>
      </c>
      <c r="O19" s="5" t="str">
        <f t="shared" ref="O19:O22" si="9">IF(J19&gt;=220,"PASS","FAIL")</f>
        <v>PASS</v>
      </c>
    </row>
    <row r="20" spans="1:19">
      <c r="A20" s="10">
        <v>15</v>
      </c>
      <c r="B20" s="10" t="s">
        <v>14</v>
      </c>
      <c r="C20" s="10">
        <v>18</v>
      </c>
      <c r="D20" s="10" t="s">
        <v>35</v>
      </c>
      <c r="E20" s="2">
        <v>85</v>
      </c>
      <c r="F20" s="2">
        <v>34</v>
      </c>
      <c r="G20" s="2">
        <v>46</v>
      </c>
      <c r="H20" s="2">
        <v>64</v>
      </c>
      <c r="I20" s="2">
        <v>49</v>
      </c>
      <c r="J20" s="2">
        <f t="shared" si="6"/>
        <v>278</v>
      </c>
      <c r="K20" s="9">
        <f t="shared" si="7"/>
        <v>0.55600000000000005</v>
      </c>
      <c r="L20" s="2">
        <f t="shared" si="8"/>
        <v>55.6</v>
      </c>
      <c r="M20" s="2" t="str">
        <f t="shared" si="4"/>
        <v>C</v>
      </c>
      <c r="N20" s="6">
        <f t="shared" si="5"/>
        <v>12</v>
      </c>
      <c r="O20" s="5" t="str">
        <f t="shared" si="9"/>
        <v>PASS</v>
      </c>
    </row>
    <row r="21" spans="1:19">
      <c r="A21" s="7">
        <v>15</v>
      </c>
      <c r="B21" s="7" t="s">
        <v>14</v>
      </c>
      <c r="C21" s="7">
        <v>19</v>
      </c>
      <c r="D21" s="7" t="s">
        <v>36</v>
      </c>
      <c r="E21" s="7">
        <v>27</v>
      </c>
      <c r="F21" s="7">
        <v>89</v>
      </c>
      <c r="G21" s="7">
        <v>39</v>
      </c>
      <c r="H21" s="7">
        <v>31</v>
      </c>
      <c r="I21" s="7">
        <v>48</v>
      </c>
      <c r="J21" s="7">
        <f t="shared" si="6"/>
        <v>234</v>
      </c>
      <c r="K21" s="7">
        <f t="shared" si="7"/>
        <v>0.46799999999999997</v>
      </c>
      <c r="L21" s="7">
        <f t="shared" si="8"/>
        <v>46.8</v>
      </c>
      <c r="M21" s="7" t="str">
        <f t="shared" si="4"/>
        <v>D</v>
      </c>
      <c r="N21" s="3">
        <f t="shared" si="5"/>
        <v>15</v>
      </c>
      <c r="O21" s="5" t="str">
        <f t="shared" si="9"/>
        <v>PASS</v>
      </c>
    </row>
    <row r="22" spans="1:19">
      <c r="A22" s="10">
        <v>15</v>
      </c>
      <c r="B22" s="10" t="s">
        <v>14</v>
      </c>
      <c r="C22" s="10">
        <v>20</v>
      </c>
      <c r="D22" s="10" t="s">
        <v>37</v>
      </c>
      <c r="E22" s="2">
        <v>15</v>
      </c>
      <c r="F22" s="2">
        <v>49</v>
      </c>
      <c r="G22" s="2">
        <v>22</v>
      </c>
      <c r="H22" s="2">
        <v>75</v>
      </c>
      <c r="I22" s="2">
        <v>20</v>
      </c>
      <c r="J22" s="2">
        <f t="shared" si="6"/>
        <v>181</v>
      </c>
      <c r="K22" s="9">
        <f t="shared" si="7"/>
        <v>0.36200000000000004</v>
      </c>
      <c r="L22" s="2">
        <f t="shared" si="8"/>
        <v>36.200000000000003</v>
      </c>
      <c r="M22" s="2" t="str">
        <f t="shared" si="4"/>
        <v>F</v>
      </c>
      <c r="N22" s="6">
        <f t="shared" si="5"/>
        <v>18</v>
      </c>
      <c r="O22" s="5" t="str">
        <f t="shared" si="9"/>
        <v>FAIL</v>
      </c>
    </row>
    <row r="27" spans="1:19">
      <c r="B27" s="13" t="s">
        <v>0</v>
      </c>
      <c r="E27" s="13" t="s">
        <v>4</v>
      </c>
      <c r="F27" s="13" t="s">
        <v>0</v>
      </c>
      <c r="G27" s="13" t="s">
        <v>1</v>
      </c>
      <c r="H27" s="13" t="s">
        <v>5</v>
      </c>
      <c r="I27" s="13" t="s">
        <v>6</v>
      </c>
      <c r="J27" s="13" t="s">
        <v>7</v>
      </c>
      <c r="K27" s="13" t="s">
        <v>8</v>
      </c>
      <c r="L27" s="13" t="s">
        <v>9</v>
      </c>
      <c r="M27" s="13" t="s">
        <v>10</v>
      </c>
      <c r="N27" s="13" t="s">
        <v>32</v>
      </c>
      <c r="O27" s="13" t="s">
        <v>11</v>
      </c>
      <c r="P27" s="13" t="s">
        <v>12</v>
      </c>
      <c r="Q27" s="13" t="s">
        <v>31</v>
      </c>
      <c r="R27" s="13" t="s">
        <v>13</v>
      </c>
    </row>
    <row r="28" spans="1:19">
      <c r="B28" s="2">
        <v>2</v>
      </c>
      <c r="E28" s="2" t="s">
        <v>14</v>
      </c>
      <c r="F28" s="2">
        <v>2</v>
      </c>
      <c r="G28" s="2" t="s">
        <v>16</v>
      </c>
      <c r="H28" s="2">
        <v>56</v>
      </c>
      <c r="I28" s="2">
        <v>28</v>
      </c>
      <c r="J28" s="2">
        <v>90</v>
      </c>
      <c r="K28" s="2">
        <v>88</v>
      </c>
      <c r="L28" s="2">
        <v>64</v>
      </c>
      <c r="M28" s="2">
        <v>326</v>
      </c>
      <c r="N28" s="9">
        <v>0.65200000000000002</v>
      </c>
      <c r="O28" s="2">
        <v>65.2</v>
      </c>
      <c r="P28" s="2" t="s">
        <v>54</v>
      </c>
      <c r="Q28" s="6">
        <v>6</v>
      </c>
      <c r="R28" s="5" t="s">
        <v>39</v>
      </c>
    </row>
    <row r="29" spans="1:19">
      <c r="E29" s="2"/>
      <c r="F29" s="2"/>
      <c r="G29" s="2"/>
      <c r="H29" s="2"/>
      <c r="I29" s="2"/>
      <c r="J29" s="2"/>
      <c r="K29" s="2"/>
      <c r="L29" s="2"/>
      <c r="M29" s="2"/>
      <c r="N29" s="9"/>
      <c r="O29" s="2"/>
      <c r="P29" s="2"/>
      <c r="Q29" s="6"/>
      <c r="R29" s="5"/>
    </row>
    <row r="30" spans="1:19"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1"/>
      <c r="R30" s="11"/>
      <c r="S30" s="12"/>
    </row>
    <row r="31" spans="1:19">
      <c r="E31" s="12"/>
      <c r="F31" s="12"/>
      <c r="G31" s="12"/>
      <c r="H31" s="12"/>
      <c r="I31" s="12"/>
      <c r="J31" s="12"/>
      <c r="K31" s="12"/>
      <c r="L31" s="12"/>
      <c r="M31" s="12"/>
      <c r="N31" s="15"/>
      <c r="O31" s="12"/>
      <c r="P31" s="12"/>
      <c r="Q31" s="11"/>
      <c r="R31" s="11"/>
      <c r="S31" s="12"/>
    </row>
    <row r="32" spans="1:19"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1"/>
      <c r="R32" s="11"/>
      <c r="S32" s="12"/>
    </row>
    <row r="33" spans="5:19">
      <c r="E33" s="12"/>
      <c r="F33" s="12"/>
      <c r="G33" s="12"/>
      <c r="H33" s="12"/>
      <c r="I33" s="12"/>
      <c r="J33" s="12"/>
      <c r="K33" s="12"/>
      <c r="L33" s="12"/>
      <c r="M33" s="12"/>
      <c r="N33" s="15"/>
      <c r="O33" s="12"/>
      <c r="P33" s="12"/>
      <c r="Q33" s="11"/>
      <c r="R33" s="11"/>
      <c r="S33" s="12"/>
    </row>
    <row r="34" spans="5:19"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1"/>
      <c r="R34" s="11"/>
      <c r="S34" s="12"/>
    </row>
    <row r="35" spans="5:19">
      <c r="E35" s="12"/>
      <c r="F35" s="12"/>
      <c r="G35" s="12"/>
      <c r="H35" s="12"/>
      <c r="I35" s="12"/>
      <c r="J35" s="12"/>
      <c r="K35" s="12"/>
      <c r="L35" s="12"/>
      <c r="M35" s="12"/>
      <c r="N35" s="15"/>
      <c r="O35" s="12"/>
      <c r="P35" s="12"/>
      <c r="Q35" s="11"/>
      <c r="R35" s="11"/>
      <c r="S35" s="12"/>
    </row>
    <row r="36" spans="5:19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1"/>
      <c r="R36" s="11"/>
      <c r="S36" s="12"/>
    </row>
    <row r="37" spans="5:19">
      <c r="E37" s="12"/>
      <c r="F37" s="12"/>
      <c r="G37" s="12"/>
      <c r="H37" s="12"/>
      <c r="I37" s="12"/>
      <c r="J37" s="12"/>
      <c r="K37" s="12"/>
      <c r="L37" s="12"/>
      <c r="M37" s="12"/>
      <c r="N37" s="15"/>
      <c r="O37" s="12"/>
      <c r="P37" s="12"/>
      <c r="Q37" s="11"/>
      <c r="R37" s="11"/>
      <c r="S37" s="12"/>
    </row>
    <row r="38" spans="5:19"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1"/>
      <c r="R38" s="11"/>
      <c r="S38" s="12"/>
    </row>
    <row r="39" spans="5:19">
      <c r="E39" s="12"/>
      <c r="F39" s="12"/>
      <c r="G39" s="12"/>
      <c r="H39" s="12"/>
      <c r="I39" s="12"/>
      <c r="J39" s="12"/>
      <c r="K39" s="12"/>
      <c r="L39" s="12"/>
      <c r="M39" s="12"/>
      <c r="N39" s="15"/>
      <c r="O39" s="12"/>
      <c r="P39" s="12"/>
      <c r="Q39" s="11"/>
      <c r="R39" s="11"/>
      <c r="S39" s="12"/>
    </row>
    <row r="40" spans="5:19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1"/>
      <c r="R40" s="11"/>
      <c r="S40" s="12"/>
    </row>
    <row r="41" spans="5:19">
      <c r="E41" s="12"/>
      <c r="F41" s="12"/>
      <c r="G41" s="12"/>
      <c r="H41" s="12"/>
      <c r="I41" s="12"/>
      <c r="J41" s="12"/>
      <c r="K41" s="12"/>
      <c r="L41" s="12"/>
      <c r="M41" s="12"/>
      <c r="N41" s="15"/>
      <c r="O41" s="12"/>
      <c r="P41" s="12"/>
      <c r="Q41" s="11"/>
      <c r="R41" s="11"/>
      <c r="S41" s="12"/>
    </row>
    <row r="42" spans="5:19"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1"/>
      <c r="R42" s="11"/>
      <c r="S42" s="12"/>
    </row>
    <row r="43" spans="5:19">
      <c r="E43" s="12"/>
      <c r="F43" s="12"/>
      <c r="G43" s="12"/>
      <c r="H43" s="12"/>
      <c r="I43" s="12"/>
      <c r="J43" s="12"/>
      <c r="K43" s="12"/>
      <c r="L43" s="12"/>
      <c r="M43" s="12"/>
      <c r="N43" s="15"/>
      <c r="O43" s="12"/>
      <c r="P43" s="12"/>
      <c r="Q43" s="11"/>
      <c r="R43" s="11"/>
      <c r="S43" s="12"/>
    </row>
    <row r="44" spans="5:19"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1"/>
      <c r="R44" s="11"/>
      <c r="S44" s="12"/>
    </row>
    <row r="45" spans="5:19">
      <c r="E45" s="12"/>
      <c r="F45" s="12"/>
      <c r="G45" s="12"/>
      <c r="H45" s="12"/>
      <c r="I45" s="12"/>
      <c r="J45" s="12"/>
      <c r="K45" s="12"/>
      <c r="L45" s="12"/>
      <c r="M45" s="12"/>
      <c r="N45" s="15"/>
      <c r="O45" s="12"/>
      <c r="P45" s="12"/>
      <c r="Q45" s="11"/>
      <c r="R45" s="11"/>
      <c r="S45" s="12"/>
    </row>
    <row r="46" spans="5:19"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1"/>
      <c r="R46" s="11"/>
      <c r="S46" s="12"/>
    </row>
    <row r="47" spans="5:19">
      <c r="E47" s="12"/>
      <c r="F47" s="12"/>
      <c r="G47" s="12"/>
      <c r="H47" s="12"/>
      <c r="I47" s="12"/>
      <c r="J47" s="12"/>
      <c r="K47" s="12"/>
      <c r="L47" s="12"/>
      <c r="M47" s="12"/>
      <c r="N47" s="15"/>
      <c r="O47" s="12"/>
      <c r="P47" s="12"/>
      <c r="Q47" s="11"/>
      <c r="R47" s="11"/>
      <c r="S47" s="12"/>
    </row>
  </sheetData>
  <conditionalFormatting sqref="O3:O6 O8 O10 O12 O14 O16:O22">
    <cfRule type="containsText" dxfId="45" priority="4" operator="containsText" text="FAIL">
      <formula>NOT(ISERROR(SEARCH("FAIL",O3)))</formula>
    </cfRule>
    <cfRule type="containsText" dxfId="44" priority="5" operator="containsText" text="PASS">
      <formula>NOT(ISERROR(SEARCH("PASS",O3)))</formula>
    </cfRule>
  </conditionalFormatting>
  <conditionalFormatting sqref="P4:P18">
    <cfRule type="containsText" dxfId="43" priority="2" operator="containsText" text="FAIL">
      <formula>NOT(ISERROR(SEARCH("FAIL",P4)))</formula>
    </cfRule>
    <cfRule type="containsText" dxfId="42" priority="3" operator="containsText" text="PASS">
      <formula>NOT(ISERROR(SEARCH("PASS",P4)))</formula>
    </cfRule>
  </conditionalFormatting>
  <conditionalFormatting sqref="O3:O22">
    <cfRule type="containsText" dxfId="41" priority="1" operator="containsText" text="PASS">
      <formula>NOT(ISERROR(SEARCH("PASS",O3)))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4">
                <anchor moveWithCells="1" sizeWithCells="1">
                  <from>
                    <xdr:col>2</xdr:col>
                    <xdr:colOff>514350</xdr:colOff>
                    <xdr:row>25</xdr:row>
                    <xdr:rowOff>152400</xdr:rowOff>
                  </from>
                  <to>
                    <xdr:col>3</xdr:col>
                    <xdr:colOff>476250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43"/>
  <sheetViews>
    <sheetView zoomScale="82" zoomScaleNormal="100" workbookViewId="0">
      <selection activeCell="R21" sqref="R21"/>
    </sheetView>
  </sheetViews>
  <sheetFormatPr defaultRowHeight="15"/>
  <cols>
    <col min="3" max="3" width="16" customWidth="1"/>
    <col min="5" max="5" width="14" bestFit="1" customWidth="1"/>
    <col min="7" max="7" width="12.7109375" customWidth="1"/>
    <col min="9" max="9" width="10.28515625" customWidth="1"/>
    <col min="11" max="11" width="13.28515625" customWidth="1"/>
    <col min="15" max="15" width="13" customWidth="1"/>
  </cols>
  <sheetData>
    <row r="1" spans="1:15" ht="30">
      <c r="A1" s="17" t="s">
        <v>0</v>
      </c>
      <c r="B1" s="17" t="s">
        <v>1</v>
      </c>
      <c r="C1" s="17" t="s">
        <v>2</v>
      </c>
      <c r="D1" s="17" t="s">
        <v>4</v>
      </c>
      <c r="E1" s="17" t="s">
        <v>5</v>
      </c>
      <c r="F1" s="17" t="s">
        <v>7</v>
      </c>
      <c r="G1" s="17" t="s">
        <v>8</v>
      </c>
      <c r="H1" s="17" t="s">
        <v>6</v>
      </c>
      <c r="I1" s="19" t="s">
        <v>9</v>
      </c>
      <c r="J1" s="17" t="s">
        <v>10</v>
      </c>
      <c r="K1" s="17" t="s">
        <v>32</v>
      </c>
      <c r="L1" s="17" t="s">
        <v>12</v>
      </c>
      <c r="M1" s="17" t="s">
        <v>31</v>
      </c>
      <c r="N1" s="17" t="s">
        <v>13</v>
      </c>
      <c r="O1" s="16"/>
    </row>
    <row r="2" spans="1:15">
      <c r="A2" s="18">
        <v>1</v>
      </c>
      <c r="B2" s="18" t="s">
        <v>40</v>
      </c>
      <c r="C2" s="18" t="s">
        <v>50</v>
      </c>
      <c r="D2" s="18" t="s">
        <v>14</v>
      </c>
      <c r="E2" s="18">
        <v>100</v>
      </c>
      <c r="F2" s="18">
        <v>98</v>
      </c>
      <c r="G2" s="18">
        <v>99</v>
      </c>
      <c r="H2" s="18">
        <v>100</v>
      </c>
      <c r="I2" s="18">
        <v>99</v>
      </c>
      <c r="J2" s="18">
        <f>SUM(E2:I2)</f>
        <v>496</v>
      </c>
      <c r="K2" s="18">
        <f>J2/5</f>
        <v>99.2</v>
      </c>
      <c r="L2" s="18" t="str">
        <f>IF(K2&gt;=95,"A+",IF(K2&gt;=90,"A",IF(K2&gt;=85,"B+",IF(K2&gt;=80,"B",IF(K2&gt;=70,"C",IF(K2&gt;=60,"D",IF(K2&gt;=50,"E","F")))))))</f>
        <v>A+</v>
      </c>
      <c r="M2" s="18">
        <f>RANK(J2,$J$2:$J$21)</f>
        <v>1</v>
      </c>
      <c r="N2" s="18" t="str">
        <f>IF(J2&gt;=210,"PASS","FAIL")</f>
        <v>PASS</v>
      </c>
      <c r="O2" s="16"/>
    </row>
    <row r="3" spans="1:15">
      <c r="A3" s="18">
        <v>2</v>
      </c>
      <c r="B3" s="18" t="s">
        <v>22</v>
      </c>
      <c r="C3" s="18" t="s">
        <v>50</v>
      </c>
      <c r="D3" s="18" t="s">
        <v>14</v>
      </c>
      <c r="E3" s="18">
        <v>59</v>
      </c>
      <c r="F3" s="18">
        <v>62</v>
      </c>
      <c r="G3" s="18">
        <v>53</v>
      </c>
      <c r="H3" s="18">
        <v>77</v>
      </c>
      <c r="I3" s="18">
        <v>94</v>
      </c>
      <c r="J3" s="18">
        <f t="shared" ref="J3:J21" si="0">SUM(E3:I3)</f>
        <v>345</v>
      </c>
      <c r="K3" s="18">
        <f t="shared" ref="K3:K21" si="1">J3/5</f>
        <v>69</v>
      </c>
      <c r="L3" s="18" t="str">
        <f t="shared" ref="L3:L21" si="2">IF(K3&gt;=95,"A+",IF(K3&gt;=90,"A",IF(K3&gt;=85,"B+",IF(K3&gt;=80,"B",IF(K3&gt;=70,"C",IF(K3&gt;=60,"D",IF(K3&gt;=50,"E","F")))))))</f>
        <v>D</v>
      </c>
      <c r="M3" s="18">
        <f t="shared" ref="M3:M21" si="3">RANK(J3,$J$2:$J$21)</f>
        <v>7</v>
      </c>
      <c r="N3" s="18" t="str">
        <f t="shared" ref="N3:N21" si="4">IF(J3&gt;=210,"PASS","FAIL")</f>
        <v>PASS</v>
      </c>
      <c r="O3" s="16"/>
    </row>
    <row r="4" spans="1:15">
      <c r="A4" s="18">
        <v>3</v>
      </c>
      <c r="B4" s="18" t="s">
        <v>23</v>
      </c>
      <c r="C4" s="18" t="s">
        <v>50</v>
      </c>
      <c r="D4" s="18" t="s">
        <v>14</v>
      </c>
      <c r="E4" s="18">
        <v>48</v>
      </c>
      <c r="F4" s="18">
        <v>73</v>
      </c>
      <c r="G4" s="18">
        <v>35</v>
      </c>
      <c r="H4" s="18">
        <v>86</v>
      </c>
      <c r="I4" s="18">
        <v>25</v>
      </c>
      <c r="J4" s="18">
        <f t="shared" si="0"/>
        <v>267</v>
      </c>
      <c r="K4" s="18">
        <f t="shared" si="1"/>
        <v>53.4</v>
      </c>
      <c r="L4" s="18" t="str">
        <f t="shared" si="2"/>
        <v>E</v>
      </c>
      <c r="M4" s="18">
        <f t="shared" si="3"/>
        <v>13</v>
      </c>
      <c r="N4" s="18" t="str">
        <f t="shared" si="4"/>
        <v>PASS</v>
      </c>
      <c r="O4" s="16"/>
    </row>
    <row r="5" spans="1:15">
      <c r="A5" s="18">
        <v>4</v>
      </c>
      <c r="B5" s="18" t="s">
        <v>24</v>
      </c>
      <c r="C5" s="18" t="s">
        <v>50</v>
      </c>
      <c r="D5" s="18" t="s">
        <v>14</v>
      </c>
      <c r="E5" s="18">
        <v>52</v>
      </c>
      <c r="F5" s="18">
        <v>86</v>
      </c>
      <c r="G5" s="18">
        <v>98</v>
      </c>
      <c r="H5" s="18">
        <v>75</v>
      </c>
      <c r="I5" s="18">
        <v>72</v>
      </c>
      <c r="J5" s="18">
        <f t="shared" si="0"/>
        <v>383</v>
      </c>
      <c r="K5" s="18">
        <f t="shared" si="1"/>
        <v>76.599999999999994</v>
      </c>
      <c r="L5" s="18" t="str">
        <f t="shared" si="2"/>
        <v>C</v>
      </c>
      <c r="M5" s="18">
        <f t="shared" si="3"/>
        <v>4</v>
      </c>
      <c r="N5" s="18" t="str">
        <f t="shared" si="4"/>
        <v>PASS</v>
      </c>
      <c r="O5" s="16"/>
    </row>
    <row r="6" spans="1:15">
      <c r="A6" s="18">
        <v>5</v>
      </c>
      <c r="B6" s="18" t="s">
        <v>19</v>
      </c>
      <c r="C6" s="18" t="s">
        <v>50</v>
      </c>
      <c r="D6" s="18" t="s">
        <v>14</v>
      </c>
      <c r="E6" s="18">
        <v>71</v>
      </c>
      <c r="F6" s="18">
        <v>73</v>
      </c>
      <c r="G6" s="18">
        <v>66</v>
      </c>
      <c r="H6" s="18">
        <v>69</v>
      </c>
      <c r="I6" s="18">
        <v>58</v>
      </c>
      <c r="J6" s="18">
        <f t="shared" si="0"/>
        <v>337</v>
      </c>
      <c r="K6" s="18">
        <f t="shared" si="1"/>
        <v>67.400000000000006</v>
      </c>
      <c r="L6" s="18" t="str">
        <f t="shared" si="2"/>
        <v>D</v>
      </c>
      <c r="M6" s="18">
        <f t="shared" si="3"/>
        <v>8</v>
      </c>
      <c r="N6" s="18" t="str">
        <f t="shared" si="4"/>
        <v>PASS</v>
      </c>
      <c r="O6" s="16"/>
    </row>
    <row r="7" spans="1:15">
      <c r="A7" s="18">
        <v>6</v>
      </c>
      <c r="B7" s="18" t="s">
        <v>34</v>
      </c>
      <c r="C7" s="18" t="s">
        <v>50</v>
      </c>
      <c r="D7" s="18" t="s">
        <v>14</v>
      </c>
      <c r="E7" s="18">
        <v>82</v>
      </c>
      <c r="F7" s="18">
        <v>90</v>
      </c>
      <c r="G7" s="18">
        <v>94</v>
      </c>
      <c r="H7" s="18">
        <v>28</v>
      </c>
      <c r="I7" s="18">
        <v>67</v>
      </c>
      <c r="J7" s="18">
        <f t="shared" si="0"/>
        <v>361</v>
      </c>
      <c r="K7" s="18">
        <f t="shared" si="1"/>
        <v>72.2</v>
      </c>
      <c r="L7" s="18" t="str">
        <f t="shared" si="2"/>
        <v>C</v>
      </c>
      <c r="M7" s="18">
        <f t="shared" si="3"/>
        <v>5</v>
      </c>
      <c r="N7" s="18" t="str">
        <f t="shared" si="4"/>
        <v>PASS</v>
      </c>
      <c r="O7" s="16"/>
    </row>
    <row r="8" spans="1:15">
      <c r="A8" s="18">
        <v>7</v>
      </c>
      <c r="B8" s="18" t="s">
        <v>18</v>
      </c>
      <c r="C8" s="18" t="s">
        <v>50</v>
      </c>
      <c r="D8" s="18" t="s">
        <v>14</v>
      </c>
      <c r="E8" s="18">
        <v>63</v>
      </c>
      <c r="F8" s="18">
        <v>47</v>
      </c>
      <c r="G8" s="18">
        <v>93</v>
      </c>
      <c r="H8" s="18">
        <v>68</v>
      </c>
      <c r="I8" s="18">
        <v>53</v>
      </c>
      <c r="J8" s="18">
        <f t="shared" si="0"/>
        <v>324</v>
      </c>
      <c r="K8" s="18">
        <f t="shared" si="1"/>
        <v>64.8</v>
      </c>
      <c r="L8" s="18" t="str">
        <f t="shared" si="2"/>
        <v>D</v>
      </c>
      <c r="M8" s="18">
        <f t="shared" si="3"/>
        <v>10</v>
      </c>
      <c r="N8" s="18" t="str">
        <f t="shared" si="4"/>
        <v>PASS</v>
      </c>
      <c r="O8" s="16"/>
    </row>
    <row r="9" spans="1:15">
      <c r="A9" s="18">
        <v>8</v>
      </c>
      <c r="B9" s="18" t="s">
        <v>15</v>
      </c>
      <c r="C9" s="18" t="s">
        <v>50</v>
      </c>
      <c r="D9" s="18" t="s">
        <v>14</v>
      </c>
      <c r="E9" s="18">
        <v>99</v>
      </c>
      <c r="F9" s="18">
        <v>79</v>
      </c>
      <c r="G9" s="18">
        <v>87</v>
      </c>
      <c r="H9" s="18">
        <v>70</v>
      </c>
      <c r="I9" s="18">
        <v>99</v>
      </c>
      <c r="J9" s="18">
        <f t="shared" si="0"/>
        <v>434</v>
      </c>
      <c r="K9" s="18">
        <f t="shared" si="1"/>
        <v>86.8</v>
      </c>
      <c r="L9" s="18" t="str">
        <f t="shared" si="2"/>
        <v>B+</v>
      </c>
      <c r="M9" s="18">
        <f t="shared" si="3"/>
        <v>2</v>
      </c>
      <c r="N9" s="18" t="str">
        <f t="shared" si="4"/>
        <v>PASS</v>
      </c>
      <c r="O9" s="16"/>
    </row>
    <row r="10" spans="1:15">
      <c r="A10" s="18">
        <v>9</v>
      </c>
      <c r="B10" s="18" t="s">
        <v>17</v>
      </c>
      <c r="C10" s="18" t="s">
        <v>50</v>
      </c>
      <c r="D10" s="18" t="s">
        <v>14</v>
      </c>
      <c r="E10" s="18">
        <v>19</v>
      </c>
      <c r="F10" s="18">
        <v>14</v>
      </c>
      <c r="G10" s="18">
        <v>8</v>
      </c>
      <c r="H10" s="18">
        <v>66</v>
      </c>
      <c r="I10" s="18">
        <v>10</v>
      </c>
      <c r="J10" s="18">
        <f t="shared" si="0"/>
        <v>117</v>
      </c>
      <c r="K10" s="18">
        <f t="shared" si="1"/>
        <v>23.4</v>
      </c>
      <c r="L10" s="18" t="str">
        <f t="shared" si="2"/>
        <v>F</v>
      </c>
      <c r="M10" s="18">
        <f t="shared" si="3"/>
        <v>20</v>
      </c>
      <c r="N10" s="18" t="str">
        <f t="shared" si="4"/>
        <v>FAIL</v>
      </c>
      <c r="O10" s="16"/>
    </row>
    <row r="11" spans="1:15">
      <c r="A11" s="18">
        <v>10</v>
      </c>
      <c r="B11" s="18" t="s">
        <v>36</v>
      </c>
      <c r="C11" s="18" t="s">
        <v>50</v>
      </c>
      <c r="D11" s="18" t="s">
        <v>14</v>
      </c>
      <c r="E11" s="18">
        <v>74</v>
      </c>
      <c r="F11" s="18">
        <v>76</v>
      </c>
      <c r="G11" s="18">
        <v>51</v>
      </c>
      <c r="H11" s="18">
        <v>62</v>
      </c>
      <c r="I11" s="18">
        <v>88</v>
      </c>
      <c r="J11" s="18">
        <f t="shared" si="0"/>
        <v>351</v>
      </c>
      <c r="K11" s="18">
        <f t="shared" si="1"/>
        <v>70.2</v>
      </c>
      <c r="L11" s="18" t="str">
        <f t="shared" si="2"/>
        <v>C</v>
      </c>
      <c r="M11" s="18">
        <f t="shared" si="3"/>
        <v>6</v>
      </c>
      <c r="N11" s="18" t="str">
        <f t="shared" si="4"/>
        <v>PASS</v>
      </c>
      <c r="O11" s="16"/>
    </row>
    <row r="12" spans="1:15">
      <c r="A12" s="18">
        <v>11</v>
      </c>
      <c r="B12" s="18" t="s">
        <v>37</v>
      </c>
      <c r="C12" s="18" t="s">
        <v>50</v>
      </c>
      <c r="D12" s="18" t="s">
        <v>14</v>
      </c>
      <c r="E12" s="18">
        <v>88</v>
      </c>
      <c r="F12" s="18">
        <v>5</v>
      </c>
      <c r="G12" s="18">
        <v>11</v>
      </c>
      <c r="H12" s="18">
        <v>28</v>
      </c>
      <c r="I12" s="18">
        <v>77</v>
      </c>
      <c r="J12" s="18">
        <f t="shared" si="0"/>
        <v>209</v>
      </c>
      <c r="K12" s="18">
        <f t="shared" si="1"/>
        <v>41.8</v>
      </c>
      <c r="L12" s="18" t="str">
        <f t="shared" si="2"/>
        <v>F</v>
      </c>
      <c r="M12" s="18">
        <f t="shared" si="3"/>
        <v>17</v>
      </c>
      <c r="N12" s="18" t="str">
        <f t="shared" si="4"/>
        <v>FAIL</v>
      </c>
      <c r="O12" s="16"/>
    </row>
    <row r="13" spans="1:15">
      <c r="A13" s="18">
        <v>12</v>
      </c>
      <c r="B13" s="18" t="s">
        <v>41</v>
      </c>
      <c r="C13" s="18" t="s">
        <v>50</v>
      </c>
      <c r="D13" s="18" t="s">
        <v>14</v>
      </c>
      <c r="E13" s="18">
        <v>79</v>
      </c>
      <c r="F13" s="18">
        <v>96</v>
      </c>
      <c r="G13" s="18">
        <v>99</v>
      </c>
      <c r="H13" s="18">
        <v>54</v>
      </c>
      <c r="I13" s="18">
        <v>61</v>
      </c>
      <c r="J13" s="18">
        <f t="shared" si="0"/>
        <v>389</v>
      </c>
      <c r="K13" s="18">
        <f t="shared" si="1"/>
        <v>77.8</v>
      </c>
      <c r="L13" s="18" t="str">
        <f t="shared" si="2"/>
        <v>C</v>
      </c>
      <c r="M13" s="18">
        <f t="shared" si="3"/>
        <v>3</v>
      </c>
      <c r="N13" s="18" t="str">
        <f t="shared" si="4"/>
        <v>PASS</v>
      </c>
      <c r="O13" s="16"/>
    </row>
    <row r="14" spans="1:15">
      <c r="A14" s="18">
        <v>13</v>
      </c>
      <c r="B14" s="18" t="s">
        <v>42</v>
      </c>
      <c r="C14" s="18" t="s">
        <v>50</v>
      </c>
      <c r="D14" s="18" t="s">
        <v>14</v>
      </c>
      <c r="E14" s="18">
        <v>87</v>
      </c>
      <c r="F14" s="18">
        <v>91</v>
      </c>
      <c r="G14" s="18">
        <v>47</v>
      </c>
      <c r="H14" s="18">
        <v>78</v>
      </c>
      <c r="I14" s="18">
        <v>28</v>
      </c>
      <c r="J14" s="18">
        <f t="shared" si="0"/>
        <v>331</v>
      </c>
      <c r="K14" s="18">
        <f t="shared" si="1"/>
        <v>66.2</v>
      </c>
      <c r="L14" s="18" t="str">
        <f t="shared" si="2"/>
        <v>D</v>
      </c>
      <c r="M14" s="18">
        <f t="shared" si="3"/>
        <v>9</v>
      </c>
      <c r="N14" s="18" t="str">
        <f t="shared" si="4"/>
        <v>PASS</v>
      </c>
      <c r="O14" s="16"/>
    </row>
    <row r="15" spans="1:15">
      <c r="A15" s="18">
        <v>14</v>
      </c>
      <c r="B15" s="18" t="s">
        <v>43</v>
      </c>
      <c r="C15" s="18" t="s">
        <v>50</v>
      </c>
      <c r="D15" s="18" t="s">
        <v>14</v>
      </c>
      <c r="E15" s="18">
        <v>84</v>
      </c>
      <c r="F15" s="18">
        <v>44</v>
      </c>
      <c r="G15" s="18">
        <v>36</v>
      </c>
      <c r="H15" s="18">
        <v>62</v>
      </c>
      <c r="I15" s="18">
        <v>38</v>
      </c>
      <c r="J15" s="18">
        <f t="shared" si="0"/>
        <v>264</v>
      </c>
      <c r="K15" s="18">
        <f t="shared" si="1"/>
        <v>52.8</v>
      </c>
      <c r="L15" s="18" t="str">
        <f t="shared" si="2"/>
        <v>E</v>
      </c>
      <c r="M15" s="18">
        <f t="shared" si="3"/>
        <v>14</v>
      </c>
      <c r="N15" s="18" t="str">
        <f t="shared" si="4"/>
        <v>PASS</v>
      </c>
      <c r="O15" s="16"/>
    </row>
    <row r="16" spans="1:15">
      <c r="A16" s="18">
        <v>15</v>
      </c>
      <c r="B16" s="18" t="s">
        <v>44</v>
      </c>
      <c r="C16" s="18" t="s">
        <v>50</v>
      </c>
      <c r="D16" s="18" t="s">
        <v>14</v>
      </c>
      <c r="E16" s="18">
        <v>84</v>
      </c>
      <c r="F16" s="18">
        <v>28</v>
      </c>
      <c r="G16" s="18">
        <v>10</v>
      </c>
      <c r="H16" s="18">
        <v>37</v>
      </c>
      <c r="I16" s="18">
        <v>10</v>
      </c>
      <c r="J16" s="18">
        <f t="shared" si="0"/>
        <v>169</v>
      </c>
      <c r="K16" s="18">
        <f t="shared" si="1"/>
        <v>33.799999999999997</v>
      </c>
      <c r="L16" s="18" t="str">
        <f t="shared" si="2"/>
        <v>F</v>
      </c>
      <c r="M16" s="18">
        <f t="shared" si="3"/>
        <v>19</v>
      </c>
      <c r="N16" s="18" t="str">
        <f t="shared" si="4"/>
        <v>FAIL</v>
      </c>
      <c r="O16" s="16"/>
    </row>
    <row r="17" spans="1:18">
      <c r="A17" s="18">
        <v>16</v>
      </c>
      <c r="B17" s="18" t="s">
        <v>45</v>
      </c>
      <c r="C17" s="18" t="s">
        <v>50</v>
      </c>
      <c r="D17" s="18" t="s">
        <v>14</v>
      </c>
      <c r="E17" s="18">
        <v>43</v>
      </c>
      <c r="F17" s="18">
        <v>47</v>
      </c>
      <c r="G17" s="18">
        <v>35</v>
      </c>
      <c r="H17" s="18">
        <v>58</v>
      </c>
      <c r="I17" s="18">
        <v>63</v>
      </c>
      <c r="J17" s="18">
        <f t="shared" si="0"/>
        <v>246</v>
      </c>
      <c r="K17" s="18">
        <f t="shared" si="1"/>
        <v>49.2</v>
      </c>
      <c r="L17" s="18" t="str">
        <f t="shared" si="2"/>
        <v>F</v>
      </c>
      <c r="M17" s="18">
        <f t="shared" si="3"/>
        <v>16</v>
      </c>
      <c r="N17" s="18" t="str">
        <f t="shared" si="4"/>
        <v>PASS</v>
      </c>
      <c r="O17" s="16"/>
    </row>
    <row r="18" spans="1:18">
      <c r="A18" s="18">
        <v>17</v>
      </c>
      <c r="B18" s="18" t="s">
        <v>46</v>
      </c>
      <c r="C18" s="18" t="s">
        <v>50</v>
      </c>
      <c r="D18" s="18" t="s">
        <v>14</v>
      </c>
      <c r="E18" s="18">
        <v>38</v>
      </c>
      <c r="F18" s="18">
        <v>63</v>
      </c>
      <c r="G18" s="18">
        <v>50</v>
      </c>
      <c r="H18" s="18">
        <v>75</v>
      </c>
      <c r="I18" s="18">
        <v>92</v>
      </c>
      <c r="J18" s="18">
        <f t="shared" si="0"/>
        <v>318</v>
      </c>
      <c r="K18" s="18">
        <f t="shared" si="1"/>
        <v>63.6</v>
      </c>
      <c r="L18" s="18" t="str">
        <f t="shared" si="2"/>
        <v>D</v>
      </c>
      <c r="M18" s="18">
        <f t="shared" si="3"/>
        <v>11</v>
      </c>
      <c r="N18" s="18" t="str">
        <f t="shared" si="4"/>
        <v>PASS</v>
      </c>
      <c r="O18" s="16"/>
    </row>
    <row r="19" spans="1:18">
      <c r="A19" s="18">
        <v>18</v>
      </c>
      <c r="B19" s="18" t="s">
        <v>47</v>
      </c>
      <c r="C19" s="18" t="s">
        <v>50</v>
      </c>
      <c r="D19" s="18" t="s">
        <v>14</v>
      </c>
      <c r="E19" s="18">
        <v>25</v>
      </c>
      <c r="F19" s="18">
        <v>67</v>
      </c>
      <c r="G19" s="18">
        <v>38</v>
      </c>
      <c r="H19" s="18">
        <v>89</v>
      </c>
      <c r="I19" s="18">
        <v>42</v>
      </c>
      <c r="J19" s="18">
        <f t="shared" si="0"/>
        <v>261</v>
      </c>
      <c r="K19" s="18">
        <f t="shared" si="1"/>
        <v>52.2</v>
      </c>
      <c r="L19" s="18" t="str">
        <f t="shared" si="2"/>
        <v>E</v>
      </c>
      <c r="M19" s="18">
        <f t="shared" si="3"/>
        <v>15</v>
      </c>
      <c r="N19" s="18" t="str">
        <f t="shared" si="4"/>
        <v>PASS</v>
      </c>
      <c r="O19" s="16"/>
    </row>
    <row r="20" spans="1:18">
      <c r="A20" s="18">
        <v>19</v>
      </c>
      <c r="B20" s="18" t="s">
        <v>48</v>
      </c>
      <c r="C20" s="18" t="s">
        <v>50</v>
      </c>
      <c r="D20" s="18" t="s">
        <v>14</v>
      </c>
      <c r="E20" s="18">
        <v>47</v>
      </c>
      <c r="F20" s="18">
        <v>29</v>
      </c>
      <c r="G20" s="18">
        <v>98</v>
      </c>
      <c r="H20" s="18">
        <v>49</v>
      </c>
      <c r="I20" s="18">
        <v>79</v>
      </c>
      <c r="J20" s="18">
        <f t="shared" si="0"/>
        <v>302</v>
      </c>
      <c r="K20" s="18">
        <f t="shared" si="1"/>
        <v>60.4</v>
      </c>
      <c r="L20" s="18" t="str">
        <f t="shared" si="2"/>
        <v>D</v>
      </c>
      <c r="M20" s="18">
        <f t="shared" si="3"/>
        <v>12</v>
      </c>
      <c r="N20" s="18" t="str">
        <f t="shared" si="4"/>
        <v>PASS</v>
      </c>
      <c r="O20" s="16"/>
    </row>
    <row r="21" spans="1:18">
      <c r="A21" s="18">
        <v>20</v>
      </c>
      <c r="B21" s="18" t="s">
        <v>49</v>
      </c>
      <c r="C21" s="18" t="s">
        <v>50</v>
      </c>
      <c r="D21" s="18" t="s">
        <v>14</v>
      </c>
      <c r="E21" s="18">
        <v>94</v>
      </c>
      <c r="F21" s="18">
        <v>10</v>
      </c>
      <c r="G21" s="18">
        <v>29</v>
      </c>
      <c r="H21" s="18">
        <v>10</v>
      </c>
      <c r="I21" s="18">
        <v>45</v>
      </c>
      <c r="J21" s="18">
        <f t="shared" si="0"/>
        <v>188</v>
      </c>
      <c r="K21" s="18">
        <f t="shared" si="1"/>
        <v>37.6</v>
      </c>
      <c r="L21" s="18" t="str">
        <f t="shared" si="2"/>
        <v>F</v>
      </c>
      <c r="M21" s="18">
        <f t="shared" si="3"/>
        <v>18</v>
      </c>
      <c r="N21" s="18" t="str">
        <f t="shared" si="4"/>
        <v>FAIL</v>
      </c>
      <c r="O21" s="16"/>
    </row>
    <row r="23" spans="1:18" ht="45">
      <c r="C23" s="17" t="s">
        <v>0</v>
      </c>
      <c r="E23" s="17" t="s">
        <v>0</v>
      </c>
      <c r="F23" s="17" t="s">
        <v>1</v>
      </c>
      <c r="G23" s="17" t="s">
        <v>2</v>
      </c>
      <c r="H23" s="17" t="s">
        <v>4</v>
      </c>
      <c r="I23" s="17" t="s">
        <v>5</v>
      </c>
      <c r="J23" s="17" t="s">
        <v>7</v>
      </c>
      <c r="K23" s="17" t="s">
        <v>8</v>
      </c>
      <c r="L23" s="17" t="s">
        <v>6</v>
      </c>
      <c r="M23" s="19" t="s">
        <v>9</v>
      </c>
      <c r="N23" s="17" t="s">
        <v>10</v>
      </c>
      <c r="O23" s="17" t="s">
        <v>32</v>
      </c>
      <c r="P23" s="17" t="s">
        <v>12</v>
      </c>
      <c r="Q23" s="17" t="s">
        <v>31</v>
      </c>
      <c r="R23" s="17" t="s">
        <v>13</v>
      </c>
    </row>
    <row r="24" spans="1:18">
      <c r="C24" s="2">
        <v>1</v>
      </c>
      <c r="E24" s="18">
        <v>1</v>
      </c>
      <c r="F24" s="18" t="s">
        <v>40</v>
      </c>
      <c r="G24" s="18" t="s">
        <v>50</v>
      </c>
      <c r="H24" s="18" t="s">
        <v>14</v>
      </c>
      <c r="I24" s="18">
        <v>100</v>
      </c>
      <c r="J24" s="18">
        <v>98</v>
      </c>
      <c r="K24" s="18">
        <v>99</v>
      </c>
      <c r="L24" s="18">
        <v>100</v>
      </c>
      <c r="M24" s="18">
        <v>99</v>
      </c>
      <c r="N24" s="18">
        <v>496</v>
      </c>
      <c r="O24" s="18">
        <v>99.2</v>
      </c>
      <c r="P24" s="18" t="s">
        <v>38</v>
      </c>
      <c r="Q24" s="18">
        <v>1</v>
      </c>
      <c r="R24" s="18" t="s">
        <v>39</v>
      </c>
    </row>
    <row r="25" spans="1:18">
      <c r="C25" s="2">
        <v>2</v>
      </c>
      <c r="E25" s="18">
        <v>2</v>
      </c>
      <c r="F25" s="18" t="s">
        <v>22</v>
      </c>
      <c r="G25" s="18" t="s">
        <v>50</v>
      </c>
      <c r="H25" s="18" t="s">
        <v>14</v>
      </c>
      <c r="I25" s="18">
        <v>59</v>
      </c>
      <c r="J25" s="18">
        <v>62</v>
      </c>
      <c r="K25" s="18">
        <v>53</v>
      </c>
      <c r="L25" s="18">
        <v>77</v>
      </c>
      <c r="M25" s="18">
        <v>94</v>
      </c>
      <c r="N25" s="18">
        <v>345</v>
      </c>
      <c r="O25" s="18">
        <v>69</v>
      </c>
      <c r="P25" s="18" t="s">
        <v>51</v>
      </c>
      <c r="Q25" s="18">
        <v>7</v>
      </c>
      <c r="R25" s="18" t="s">
        <v>39</v>
      </c>
    </row>
    <row r="26" spans="1:18">
      <c r="C26" s="2">
        <v>3</v>
      </c>
      <c r="E26" s="18">
        <v>3</v>
      </c>
      <c r="F26" s="18" t="s">
        <v>23</v>
      </c>
      <c r="G26" s="18" t="s">
        <v>50</v>
      </c>
      <c r="H26" s="18" t="s">
        <v>14</v>
      </c>
      <c r="I26" s="18">
        <v>48</v>
      </c>
      <c r="J26" s="18">
        <v>73</v>
      </c>
      <c r="K26" s="18">
        <v>35</v>
      </c>
      <c r="L26" s="18">
        <v>86</v>
      </c>
      <c r="M26" s="18">
        <v>25</v>
      </c>
      <c r="N26" s="18">
        <v>267</v>
      </c>
      <c r="O26" s="18">
        <v>53.4</v>
      </c>
      <c r="P26" s="18" t="s">
        <v>52</v>
      </c>
      <c r="Q26" s="18">
        <v>13</v>
      </c>
      <c r="R26" s="18" t="s">
        <v>39</v>
      </c>
    </row>
    <row r="27" spans="1:18">
      <c r="C27" s="2">
        <v>4</v>
      </c>
      <c r="E27" s="18">
        <v>4</v>
      </c>
      <c r="F27" s="18" t="s">
        <v>24</v>
      </c>
      <c r="G27" s="18" t="s">
        <v>50</v>
      </c>
      <c r="H27" s="18" t="s">
        <v>14</v>
      </c>
      <c r="I27" s="18">
        <v>52</v>
      </c>
      <c r="J27" s="18">
        <v>86</v>
      </c>
      <c r="K27" s="18">
        <v>98</v>
      </c>
      <c r="L27" s="18">
        <v>75</v>
      </c>
      <c r="M27" s="18">
        <v>72</v>
      </c>
      <c r="N27" s="18">
        <v>383</v>
      </c>
      <c r="O27" s="18">
        <v>76.599999999999994</v>
      </c>
      <c r="P27" s="18" t="s">
        <v>53</v>
      </c>
      <c r="Q27" s="18">
        <v>4</v>
      </c>
      <c r="R27" s="18" t="s">
        <v>39</v>
      </c>
    </row>
    <row r="28" spans="1:18">
      <c r="C28" s="2">
        <v>5</v>
      </c>
      <c r="E28" s="18">
        <v>5</v>
      </c>
      <c r="F28" s="18" t="s">
        <v>19</v>
      </c>
      <c r="G28" s="18" t="s">
        <v>50</v>
      </c>
      <c r="H28" s="18" t="s">
        <v>14</v>
      </c>
      <c r="I28" s="18">
        <v>71</v>
      </c>
      <c r="J28" s="18">
        <v>73</v>
      </c>
      <c r="K28" s="18">
        <v>66</v>
      </c>
      <c r="L28" s="18">
        <v>69</v>
      </c>
      <c r="M28" s="18">
        <v>58</v>
      </c>
      <c r="N28" s="18">
        <v>337</v>
      </c>
      <c r="O28" s="18">
        <v>67.400000000000006</v>
      </c>
      <c r="P28" s="18" t="s">
        <v>51</v>
      </c>
      <c r="Q28" s="18">
        <v>8</v>
      </c>
      <c r="R28" s="18" t="s">
        <v>39</v>
      </c>
    </row>
    <row r="29" spans="1:18"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C30" s="16" t="s">
        <v>0</v>
      </c>
      <c r="D30" s="16">
        <v>16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C31" s="16" t="s">
        <v>1</v>
      </c>
      <c r="D31" s="16" t="str">
        <f>VLOOKUP(D30,A1:N21,2,0)</f>
        <v>JATIN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C32" s="16" t="s">
        <v>2</v>
      </c>
      <c r="D32" s="16" t="str">
        <f>VLOOKUP(D30,A1:N21,3,0)</f>
        <v>12TH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3:18">
      <c r="C33" s="16" t="s">
        <v>5</v>
      </c>
      <c r="D33" s="16">
        <f>VLOOKUP(D30,A1:N21,5,0)</f>
        <v>43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3:18">
      <c r="C34" s="16" t="s">
        <v>7</v>
      </c>
      <c r="D34" s="16">
        <f>VLOOKUP(D30,A1:N21,6,0)</f>
        <v>47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3:18">
      <c r="C35" s="16" t="s">
        <v>8</v>
      </c>
      <c r="D35" s="16">
        <f>VLOOKUP(D30,A1:N21,7,0)</f>
        <v>35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  <row r="36" spans="3:18">
      <c r="C36" s="16" t="s">
        <v>6</v>
      </c>
      <c r="D36" s="16">
        <f>VLOOKUP(D30,A1:N21,8,0)</f>
        <v>58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</row>
    <row r="37" spans="3:18">
      <c r="C37" s="16" t="s">
        <v>9</v>
      </c>
      <c r="D37" s="16">
        <f>VLOOKUP(D30,A1:N21,9,0)</f>
        <v>63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</row>
    <row r="38" spans="3:18">
      <c r="C38" s="16" t="s">
        <v>10</v>
      </c>
      <c r="D38" s="16">
        <f>VLOOKUP(D30,A1:N21,10,0)</f>
        <v>246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</row>
    <row r="39" spans="3:18">
      <c r="C39" s="16" t="s">
        <v>32</v>
      </c>
      <c r="D39" s="16">
        <f>VLOOKUP(D30,A1:N21,11,0)</f>
        <v>49.2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</row>
    <row r="40" spans="3:18">
      <c r="C40" s="16" t="s">
        <v>12</v>
      </c>
      <c r="D40" s="16" t="str">
        <f>VLOOKUP(D30,A1:N21,12,0)</f>
        <v>F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</row>
    <row r="41" spans="3:18">
      <c r="C41" s="16" t="s">
        <v>31</v>
      </c>
      <c r="D41" s="16">
        <f>VLOOKUP(D30,A1:N21,13,0)</f>
        <v>16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3:18">
      <c r="C42" s="16" t="s">
        <v>13</v>
      </c>
      <c r="D42" s="16" t="str">
        <f>VLOOKUP(D30,A1:N21,14,0)</f>
        <v>PASS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3:18"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</sheetData>
  <phoneticPr fontId="3" type="noConversion"/>
  <conditionalFormatting sqref="N2:N21">
    <cfRule type="containsText" dxfId="40" priority="1" operator="containsText" text="PASS">
      <formula>NOT(ISERROR(SEARCH("PASS",N2)))</formula>
    </cfRule>
    <cfRule type="containsText" dxfId="39" priority="2" operator="containsText" text="FAIL">
      <formula>NOT(ISERROR(SEARCH("FAIL",N2)))</formula>
    </cfRule>
  </conditionalFormatting>
  <dataValidations count="1">
    <dataValidation type="list" allowBlank="1" showInputMessage="1" showErrorMessage="1" sqref="D30">
      <formula1>$A$2:$A$21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ata__">
                <anchor moveWithCells="1" sizeWithCells="1">
                  <from>
                    <xdr:col>0</xdr:col>
                    <xdr:colOff>314325</xdr:colOff>
                    <xdr:row>22</xdr:row>
                    <xdr:rowOff>533400</xdr:rowOff>
                  </from>
                  <to>
                    <xdr:col>1</xdr:col>
                    <xdr:colOff>381000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"/>
  <sheetViews>
    <sheetView showGridLines="0" topLeftCell="B4" workbookViewId="0">
      <selection activeCell="E6" sqref="E6:E28"/>
    </sheetView>
  </sheetViews>
  <sheetFormatPr defaultRowHeight="15"/>
  <cols>
    <col min="5" max="5" width="15.28515625" customWidth="1"/>
    <col min="7" max="7" width="14.28515625" customWidth="1"/>
    <col min="11" max="11" width="14.85546875" customWidth="1"/>
    <col min="14" max="14" width="18.7109375" customWidth="1"/>
    <col min="15" max="15" width="12.7109375" customWidth="1"/>
  </cols>
  <sheetData>
    <row r="1" spans="1:19" ht="14.45" customHeight="1"/>
    <row r="2" spans="1:19" ht="42" customHeight="1">
      <c r="A2" s="45" t="s">
        <v>90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</row>
    <row r="3" spans="1:19" ht="23.45" customHeight="1">
      <c r="A3" s="47" t="s">
        <v>91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</row>
    <row r="5" spans="1:19">
      <c r="D5" s="29" t="s">
        <v>3</v>
      </c>
      <c r="E5" s="30" t="s">
        <v>1</v>
      </c>
      <c r="F5" s="30" t="s">
        <v>55</v>
      </c>
      <c r="G5" s="31" t="s">
        <v>56</v>
      </c>
      <c r="H5" s="30" t="s">
        <v>57</v>
      </c>
      <c r="I5" s="31" t="s">
        <v>58</v>
      </c>
      <c r="J5" s="30" t="s">
        <v>59</v>
      </c>
      <c r="K5" s="31" t="s">
        <v>60</v>
      </c>
      <c r="L5" s="30" t="s">
        <v>61</v>
      </c>
      <c r="M5" s="31" t="s">
        <v>62</v>
      </c>
      <c r="N5" s="31" t="s">
        <v>63</v>
      </c>
      <c r="O5" s="32" t="s">
        <v>64</v>
      </c>
    </row>
    <row r="6" spans="1:19">
      <c r="D6" s="23">
        <v>1</v>
      </c>
      <c r="E6" s="2" t="s">
        <v>85</v>
      </c>
      <c r="F6" s="2" t="s">
        <v>88</v>
      </c>
      <c r="G6" s="22">
        <v>81257</v>
      </c>
      <c r="H6" s="22">
        <f>G6*10/100</f>
        <v>8125.7</v>
      </c>
      <c r="I6" s="22">
        <f>G6*7.5/100</f>
        <v>6094.2749999999996</v>
      </c>
      <c r="J6" s="22">
        <f>G6*15/100</f>
        <v>12188.55</v>
      </c>
      <c r="K6" s="22">
        <f>SUM(G6:J6)</f>
        <v>107665.52499999999</v>
      </c>
      <c r="L6" s="22">
        <f>J6/2</f>
        <v>6094.2749999999996</v>
      </c>
      <c r="M6" s="22">
        <f>L6/2</f>
        <v>3047.1374999999998</v>
      </c>
      <c r="N6" s="22">
        <f>SUM(L6:M6)</f>
        <v>9141.4124999999985</v>
      </c>
      <c r="O6" s="24">
        <f>K6-N6</f>
        <v>98524.112499999988</v>
      </c>
    </row>
    <row r="7" spans="1:19">
      <c r="D7" s="23">
        <v>2</v>
      </c>
      <c r="E7" s="2" t="s">
        <v>65</v>
      </c>
      <c r="F7" s="2" t="s">
        <v>88</v>
      </c>
      <c r="G7" s="22">
        <v>54874</v>
      </c>
      <c r="H7" s="22">
        <f t="shared" ref="H7:H28" si="0">G7*10/100</f>
        <v>5487.4</v>
      </c>
      <c r="I7" s="22">
        <f t="shared" ref="I7:I28" si="1">G7*7.5/100</f>
        <v>4115.55</v>
      </c>
      <c r="J7" s="22">
        <f t="shared" ref="J7:J28" si="2">G7*15/100</f>
        <v>8231.1</v>
      </c>
      <c r="K7" s="22">
        <f t="shared" ref="K7:K28" si="3">SUM(G7:J7)</f>
        <v>72708.05</v>
      </c>
      <c r="L7" s="22">
        <f t="shared" ref="L7:L28" si="4">J7/2</f>
        <v>4115.55</v>
      </c>
      <c r="M7" s="22">
        <f t="shared" ref="M7:M28" si="5">L7/2</f>
        <v>2057.7750000000001</v>
      </c>
      <c r="N7" s="22">
        <f t="shared" ref="N7:N28" si="6">SUM(L7:M7)</f>
        <v>6173.3250000000007</v>
      </c>
      <c r="O7" s="24">
        <f t="shared" ref="O7:O28" si="7">K7-N7</f>
        <v>66534.725000000006</v>
      </c>
    </row>
    <row r="8" spans="1:19">
      <c r="D8" s="23">
        <v>3</v>
      </c>
      <c r="E8" s="2" t="s">
        <v>81</v>
      </c>
      <c r="F8" s="2" t="s">
        <v>89</v>
      </c>
      <c r="G8" s="22">
        <v>83684</v>
      </c>
      <c r="H8" s="22">
        <f t="shared" si="0"/>
        <v>8368.4</v>
      </c>
      <c r="I8" s="22">
        <f t="shared" si="1"/>
        <v>6276.3</v>
      </c>
      <c r="J8" s="22">
        <f t="shared" si="2"/>
        <v>12552.6</v>
      </c>
      <c r="K8" s="22">
        <f t="shared" si="3"/>
        <v>110881.3</v>
      </c>
      <c r="L8" s="22">
        <f t="shared" si="4"/>
        <v>6276.3</v>
      </c>
      <c r="M8" s="22">
        <f t="shared" si="5"/>
        <v>3138.15</v>
      </c>
      <c r="N8" s="22">
        <f t="shared" si="6"/>
        <v>9414.4500000000007</v>
      </c>
      <c r="O8" s="24">
        <f t="shared" si="7"/>
        <v>101466.85</v>
      </c>
    </row>
    <row r="9" spans="1:19">
      <c r="D9" s="23">
        <v>4</v>
      </c>
      <c r="E9" s="2" t="s">
        <v>86</v>
      </c>
      <c r="F9" s="2" t="s">
        <v>88</v>
      </c>
      <c r="G9" s="22">
        <v>62675</v>
      </c>
      <c r="H9" s="22">
        <f t="shared" si="0"/>
        <v>6267.5</v>
      </c>
      <c r="I9" s="22">
        <f t="shared" si="1"/>
        <v>4700.625</v>
      </c>
      <c r="J9" s="22">
        <f t="shared" si="2"/>
        <v>9401.25</v>
      </c>
      <c r="K9" s="22">
        <f t="shared" si="3"/>
        <v>83044.375</v>
      </c>
      <c r="L9" s="22">
        <f t="shared" si="4"/>
        <v>4700.625</v>
      </c>
      <c r="M9" s="22">
        <f t="shared" si="5"/>
        <v>2350.3125</v>
      </c>
      <c r="N9" s="22">
        <f t="shared" si="6"/>
        <v>7050.9375</v>
      </c>
      <c r="O9" s="24">
        <f t="shared" si="7"/>
        <v>75993.4375</v>
      </c>
    </row>
    <row r="10" spans="1:19">
      <c r="D10" s="23">
        <v>5</v>
      </c>
      <c r="E10" s="2" t="s">
        <v>66</v>
      </c>
      <c r="F10" s="2" t="s">
        <v>89</v>
      </c>
      <c r="G10" s="22">
        <v>75624</v>
      </c>
      <c r="H10" s="22">
        <f t="shared" si="0"/>
        <v>7562.4</v>
      </c>
      <c r="I10" s="22">
        <f t="shared" si="1"/>
        <v>5671.8</v>
      </c>
      <c r="J10" s="22">
        <f t="shared" si="2"/>
        <v>11343.6</v>
      </c>
      <c r="K10" s="22">
        <f t="shared" si="3"/>
        <v>100201.8</v>
      </c>
      <c r="L10" s="22">
        <f t="shared" si="4"/>
        <v>5671.8</v>
      </c>
      <c r="M10" s="22">
        <f t="shared" si="5"/>
        <v>2835.9</v>
      </c>
      <c r="N10" s="22">
        <f t="shared" si="6"/>
        <v>8507.7000000000007</v>
      </c>
      <c r="O10" s="24">
        <f t="shared" si="7"/>
        <v>91694.1</v>
      </c>
    </row>
    <row r="11" spans="1:19">
      <c r="D11" s="23">
        <v>6</v>
      </c>
      <c r="E11" s="2" t="s">
        <v>87</v>
      </c>
      <c r="F11" s="2" t="s">
        <v>88</v>
      </c>
      <c r="G11" s="22">
        <v>76457</v>
      </c>
      <c r="H11" s="22">
        <f t="shared" si="0"/>
        <v>7645.7</v>
      </c>
      <c r="I11" s="22">
        <f t="shared" si="1"/>
        <v>5734.2749999999996</v>
      </c>
      <c r="J11" s="22">
        <f t="shared" si="2"/>
        <v>11468.55</v>
      </c>
      <c r="K11" s="22">
        <f t="shared" si="3"/>
        <v>101305.52499999999</v>
      </c>
      <c r="L11" s="22">
        <f t="shared" si="4"/>
        <v>5734.2749999999996</v>
      </c>
      <c r="M11" s="22">
        <f t="shared" si="5"/>
        <v>2867.1374999999998</v>
      </c>
      <c r="N11" s="22">
        <f t="shared" si="6"/>
        <v>8601.4124999999985</v>
      </c>
      <c r="O11" s="24">
        <f t="shared" si="7"/>
        <v>92704.112499999988</v>
      </c>
    </row>
    <row r="12" spans="1:19">
      <c r="D12" s="23">
        <v>7</v>
      </c>
      <c r="E12" s="2" t="s">
        <v>67</v>
      </c>
      <c r="F12" s="2" t="s">
        <v>88</v>
      </c>
      <c r="G12" s="22">
        <v>55476</v>
      </c>
      <c r="H12" s="22">
        <f t="shared" si="0"/>
        <v>5547.6</v>
      </c>
      <c r="I12" s="22">
        <f t="shared" si="1"/>
        <v>4160.7</v>
      </c>
      <c r="J12" s="22">
        <f t="shared" si="2"/>
        <v>8321.4</v>
      </c>
      <c r="K12" s="22">
        <f t="shared" si="3"/>
        <v>73505.7</v>
      </c>
      <c r="L12" s="22">
        <f t="shared" si="4"/>
        <v>4160.7</v>
      </c>
      <c r="M12" s="22">
        <f t="shared" si="5"/>
        <v>2080.35</v>
      </c>
      <c r="N12" s="22">
        <f t="shared" si="6"/>
        <v>6241.0499999999993</v>
      </c>
      <c r="O12" s="24">
        <f t="shared" si="7"/>
        <v>67264.649999999994</v>
      </c>
    </row>
    <row r="13" spans="1:19">
      <c r="D13" s="23">
        <v>8</v>
      </c>
      <c r="E13" s="2" t="s">
        <v>68</v>
      </c>
      <c r="F13" s="2" t="s">
        <v>89</v>
      </c>
      <c r="G13" s="22">
        <v>70902</v>
      </c>
      <c r="H13" s="22">
        <f t="shared" si="0"/>
        <v>7090.2</v>
      </c>
      <c r="I13" s="22">
        <f t="shared" si="1"/>
        <v>5317.65</v>
      </c>
      <c r="J13" s="22">
        <f t="shared" si="2"/>
        <v>10635.3</v>
      </c>
      <c r="K13" s="22">
        <f t="shared" si="3"/>
        <v>93945.15</v>
      </c>
      <c r="L13" s="22">
        <f t="shared" si="4"/>
        <v>5317.65</v>
      </c>
      <c r="M13" s="22">
        <f t="shared" si="5"/>
        <v>2658.8249999999998</v>
      </c>
      <c r="N13" s="22">
        <f t="shared" si="6"/>
        <v>7976.4749999999995</v>
      </c>
      <c r="O13" s="24">
        <f t="shared" si="7"/>
        <v>85968.674999999988</v>
      </c>
    </row>
    <row r="14" spans="1:19">
      <c r="D14" s="23">
        <v>9</v>
      </c>
      <c r="E14" s="2" t="s">
        <v>69</v>
      </c>
      <c r="F14" s="2" t="s">
        <v>88</v>
      </c>
      <c r="G14" s="22">
        <v>68511</v>
      </c>
      <c r="H14" s="22">
        <f t="shared" si="0"/>
        <v>6851.1</v>
      </c>
      <c r="I14" s="22">
        <f t="shared" si="1"/>
        <v>5138.3249999999998</v>
      </c>
      <c r="J14" s="22">
        <f t="shared" si="2"/>
        <v>10276.65</v>
      </c>
      <c r="K14" s="22">
        <f t="shared" si="3"/>
        <v>90777.074999999997</v>
      </c>
      <c r="L14" s="22">
        <f t="shared" si="4"/>
        <v>5138.3249999999998</v>
      </c>
      <c r="M14" s="22">
        <f t="shared" si="5"/>
        <v>2569.1624999999999</v>
      </c>
      <c r="N14" s="22">
        <f t="shared" si="6"/>
        <v>7707.4874999999993</v>
      </c>
      <c r="O14" s="24">
        <f t="shared" si="7"/>
        <v>83069.587499999994</v>
      </c>
    </row>
    <row r="15" spans="1:19">
      <c r="D15" s="23">
        <v>10</v>
      </c>
      <c r="E15" s="2" t="s">
        <v>82</v>
      </c>
      <c r="F15" s="2" t="s">
        <v>89</v>
      </c>
      <c r="G15" s="22">
        <v>74874</v>
      </c>
      <c r="H15" s="22">
        <f t="shared" si="0"/>
        <v>7487.4</v>
      </c>
      <c r="I15" s="22">
        <f t="shared" si="1"/>
        <v>5615.55</v>
      </c>
      <c r="J15" s="22">
        <f t="shared" si="2"/>
        <v>11231.1</v>
      </c>
      <c r="K15" s="22">
        <f t="shared" si="3"/>
        <v>99208.05</v>
      </c>
      <c r="L15" s="22">
        <f t="shared" si="4"/>
        <v>5615.55</v>
      </c>
      <c r="M15" s="22">
        <f t="shared" si="5"/>
        <v>2807.7750000000001</v>
      </c>
      <c r="N15" s="22">
        <f t="shared" si="6"/>
        <v>8423.3250000000007</v>
      </c>
      <c r="O15" s="24">
        <f t="shared" si="7"/>
        <v>90784.725000000006</v>
      </c>
    </row>
    <row r="16" spans="1:19">
      <c r="D16" s="23">
        <v>11</v>
      </c>
      <c r="E16" s="2" t="s">
        <v>70</v>
      </c>
      <c r="F16" s="2" t="s">
        <v>88</v>
      </c>
      <c r="G16" s="22">
        <v>66708</v>
      </c>
      <c r="H16" s="22">
        <f t="shared" si="0"/>
        <v>6670.8</v>
      </c>
      <c r="I16" s="22">
        <f t="shared" si="1"/>
        <v>5003.1000000000004</v>
      </c>
      <c r="J16" s="22">
        <f t="shared" si="2"/>
        <v>10006.200000000001</v>
      </c>
      <c r="K16" s="22">
        <f t="shared" si="3"/>
        <v>88388.1</v>
      </c>
      <c r="L16" s="22">
        <f t="shared" si="4"/>
        <v>5003.1000000000004</v>
      </c>
      <c r="M16" s="22">
        <f t="shared" si="5"/>
        <v>2501.5500000000002</v>
      </c>
      <c r="N16" s="22">
        <f t="shared" si="6"/>
        <v>7504.6500000000005</v>
      </c>
      <c r="O16" s="24">
        <f t="shared" si="7"/>
        <v>80883.450000000012</v>
      </c>
    </row>
    <row r="17" spans="4:15">
      <c r="D17" s="23">
        <v>12</v>
      </c>
      <c r="E17" s="2" t="s">
        <v>71</v>
      </c>
      <c r="F17" s="2" t="s">
        <v>89</v>
      </c>
      <c r="G17" s="22">
        <v>79907</v>
      </c>
      <c r="H17" s="22">
        <f t="shared" si="0"/>
        <v>7990.7</v>
      </c>
      <c r="I17" s="22">
        <f t="shared" si="1"/>
        <v>5993.0249999999996</v>
      </c>
      <c r="J17" s="22">
        <f t="shared" si="2"/>
        <v>11986.05</v>
      </c>
      <c r="K17" s="22">
        <f t="shared" si="3"/>
        <v>105876.77499999999</v>
      </c>
      <c r="L17" s="22">
        <f t="shared" si="4"/>
        <v>5993.0249999999996</v>
      </c>
      <c r="M17" s="22">
        <f t="shared" si="5"/>
        <v>2996.5124999999998</v>
      </c>
      <c r="N17" s="22">
        <f t="shared" si="6"/>
        <v>8989.5374999999985</v>
      </c>
      <c r="O17" s="24">
        <f t="shared" si="7"/>
        <v>96887.237499999988</v>
      </c>
    </row>
    <row r="18" spans="4:15">
      <c r="D18" s="23">
        <v>13</v>
      </c>
      <c r="E18" s="2" t="s">
        <v>72</v>
      </c>
      <c r="F18" s="2" t="s">
        <v>88</v>
      </c>
      <c r="G18" s="22">
        <v>73695</v>
      </c>
      <c r="H18" s="22">
        <f t="shared" si="0"/>
        <v>7369.5</v>
      </c>
      <c r="I18" s="22">
        <f t="shared" si="1"/>
        <v>5527.125</v>
      </c>
      <c r="J18" s="22">
        <f t="shared" si="2"/>
        <v>11054.25</v>
      </c>
      <c r="K18" s="22">
        <f t="shared" si="3"/>
        <v>97645.875</v>
      </c>
      <c r="L18" s="22">
        <f t="shared" si="4"/>
        <v>5527.125</v>
      </c>
      <c r="M18" s="22">
        <f t="shared" si="5"/>
        <v>2763.5625</v>
      </c>
      <c r="N18" s="22">
        <f t="shared" si="6"/>
        <v>8290.6875</v>
      </c>
      <c r="O18" s="24">
        <f t="shared" si="7"/>
        <v>89355.1875</v>
      </c>
    </row>
    <row r="19" spans="4:15">
      <c r="D19" s="23">
        <v>14</v>
      </c>
      <c r="E19" s="2" t="s">
        <v>83</v>
      </c>
      <c r="F19" s="2" t="s">
        <v>88</v>
      </c>
      <c r="G19" s="22">
        <v>89725</v>
      </c>
      <c r="H19" s="22">
        <f t="shared" si="0"/>
        <v>8972.5</v>
      </c>
      <c r="I19" s="22">
        <f t="shared" si="1"/>
        <v>6729.375</v>
      </c>
      <c r="J19" s="22">
        <f t="shared" si="2"/>
        <v>13458.75</v>
      </c>
      <c r="K19" s="22">
        <f t="shared" si="3"/>
        <v>118885.625</v>
      </c>
      <c r="L19" s="22">
        <f t="shared" si="4"/>
        <v>6729.375</v>
      </c>
      <c r="M19" s="22">
        <f t="shared" si="5"/>
        <v>3364.6875</v>
      </c>
      <c r="N19" s="22">
        <f t="shared" si="6"/>
        <v>10094.0625</v>
      </c>
      <c r="O19" s="24">
        <f t="shared" si="7"/>
        <v>108791.5625</v>
      </c>
    </row>
    <row r="20" spans="4:15">
      <c r="D20" s="23">
        <v>15</v>
      </c>
      <c r="E20" s="2" t="s">
        <v>73</v>
      </c>
      <c r="F20" s="2" t="s">
        <v>88</v>
      </c>
      <c r="G20" s="22">
        <v>67337</v>
      </c>
      <c r="H20" s="22">
        <f t="shared" si="0"/>
        <v>6733.7</v>
      </c>
      <c r="I20" s="22">
        <f t="shared" si="1"/>
        <v>5050.2749999999996</v>
      </c>
      <c r="J20" s="22">
        <f t="shared" si="2"/>
        <v>10100.549999999999</v>
      </c>
      <c r="K20" s="22">
        <f t="shared" si="3"/>
        <v>89221.524999999994</v>
      </c>
      <c r="L20" s="22">
        <f t="shared" si="4"/>
        <v>5050.2749999999996</v>
      </c>
      <c r="M20" s="22">
        <f t="shared" si="5"/>
        <v>2525.1374999999998</v>
      </c>
      <c r="N20" s="22">
        <f t="shared" si="6"/>
        <v>7575.4124999999995</v>
      </c>
      <c r="O20" s="24">
        <f t="shared" si="7"/>
        <v>81646.112499999988</v>
      </c>
    </row>
    <row r="21" spans="4:15">
      <c r="D21" s="23">
        <v>16</v>
      </c>
      <c r="E21" s="2" t="s">
        <v>74</v>
      </c>
      <c r="F21" s="2" t="s">
        <v>88</v>
      </c>
      <c r="G21" s="22">
        <v>69949</v>
      </c>
      <c r="H21" s="22">
        <f t="shared" si="0"/>
        <v>6994.9</v>
      </c>
      <c r="I21" s="22">
        <f t="shared" si="1"/>
        <v>5246.1750000000002</v>
      </c>
      <c r="J21" s="22">
        <f t="shared" si="2"/>
        <v>10492.35</v>
      </c>
      <c r="K21" s="22">
        <f t="shared" si="3"/>
        <v>92682.425000000003</v>
      </c>
      <c r="L21" s="22">
        <f t="shared" si="4"/>
        <v>5246.1750000000002</v>
      </c>
      <c r="M21" s="22">
        <f t="shared" si="5"/>
        <v>2623.0875000000001</v>
      </c>
      <c r="N21" s="22">
        <f t="shared" si="6"/>
        <v>7869.2625000000007</v>
      </c>
      <c r="O21" s="24">
        <f t="shared" si="7"/>
        <v>84813.162500000006</v>
      </c>
    </row>
    <row r="22" spans="4:15">
      <c r="D22" s="23">
        <v>17</v>
      </c>
      <c r="E22" s="2" t="s">
        <v>75</v>
      </c>
      <c r="F22" s="2" t="s">
        <v>89</v>
      </c>
      <c r="G22" s="22">
        <v>50990</v>
      </c>
      <c r="H22" s="22">
        <f t="shared" si="0"/>
        <v>5099</v>
      </c>
      <c r="I22" s="22">
        <f t="shared" si="1"/>
        <v>3824.25</v>
      </c>
      <c r="J22" s="22">
        <f t="shared" si="2"/>
        <v>7648.5</v>
      </c>
      <c r="K22" s="22">
        <f t="shared" si="3"/>
        <v>67561.75</v>
      </c>
      <c r="L22" s="22">
        <f t="shared" si="4"/>
        <v>3824.25</v>
      </c>
      <c r="M22" s="22">
        <f t="shared" si="5"/>
        <v>1912.125</v>
      </c>
      <c r="N22" s="22">
        <f t="shared" si="6"/>
        <v>5736.375</v>
      </c>
      <c r="O22" s="24">
        <f t="shared" si="7"/>
        <v>61825.375</v>
      </c>
    </row>
    <row r="23" spans="4:15">
      <c r="D23" s="23">
        <v>18</v>
      </c>
      <c r="E23" s="2" t="s">
        <v>76</v>
      </c>
      <c r="F23" s="2" t="s">
        <v>88</v>
      </c>
      <c r="G23" s="22">
        <v>64944</v>
      </c>
      <c r="H23" s="22">
        <f t="shared" si="0"/>
        <v>6494.4</v>
      </c>
      <c r="I23" s="22">
        <f t="shared" si="1"/>
        <v>4870.8</v>
      </c>
      <c r="J23" s="22">
        <f t="shared" si="2"/>
        <v>9741.6</v>
      </c>
      <c r="K23" s="22">
        <f t="shared" si="3"/>
        <v>86050.8</v>
      </c>
      <c r="L23" s="22">
        <f t="shared" si="4"/>
        <v>4870.8</v>
      </c>
      <c r="M23" s="22">
        <f t="shared" si="5"/>
        <v>2435.4</v>
      </c>
      <c r="N23" s="22">
        <f t="shared" si="6"/>
        <v>7306.2000000000007</v>
      </c>
      <c r="O23" s="24">
        <f t="shared" si="7"/>
        <v>78744.600000000006</v>
      </c>
    </row>
    <row r="24" spans="4:15">
      <c r="D24" s="23">
        <v>19</v>
      </c>
      <c r="E24" s="2" t="s">
        <v>77</v>
      </c>
      <c r="F24" s="2" t="s">
        <v>89</v>
      </c>
      <c r="G24" s="22">
        <v>54295</v>
      </c>
      <c r="H24" s="22">
        <f t="shared" si="0"/>
        <v>5429.5</v>
      </c>
      <c r="I24" s="22">
        <f t="shared" si="1"/>
        <v>4072.125</v>
      </c>
      <c r="J24" s="22">
        <f t="shared" si="2"/>
        <v>8144.25</v>
      </c>
      <c r="K24" s="22">
        <f t="shared" si="3"/>
        <v>71940.875</v>
      </c>
      <c r="L24" s="22">
        <f t="shared" si="4"/>
        <v>4072.125</v>
      </c>
      <c r="M24" s="22">
        <f t="shared" si="5"/>
        <v>2036.0625</v>
      </c>
      <c r="N24" s="22">
        <f t="shared" si="6"/>
        <v>6108.1875</v>
      </c>
      <c r="O24" s="24">
        <f t="shared" si="7"/>
        <v>65832.6875</v>
      </c>
    </row>
    <row r="25" spans="4:15">
      <c r="D25" s="23">
        <v>20</v>
      </c>
      <c r="E25" s="2" t="s">
        <v>78</v>
      </c>
      <c r="F25" s="2" t="s">
        <v>88</v>
      </c>
      <c r="G25" s="22">
        <v>86202</v>
      </c>
      <c r="H25" s="22">
        <f t="shared" si="0"/>
        <v>8620.2000000000007</v>
      </c>
      <c r="I25" s="22">
        <f t="shared" si="1"/>
        <v>6465.15</v>
      </c>
      <c r="J25" s="22">
        <f t="shared" si="2"/>
        <v>12930.3</v>
      </c>
      <c r="K25" s="22">
        <f t="shared" si="3"/>
        <v>114217.65</v>
      </c>
      <c r="L25" s="22">
        <f t="shared" si="4"/>
        <v>6465.15</v>
      </c>
      <c r="M25" s="22">
        <f t="shared" si="5"/>
        <v>3232.5749999999998</v>
      </c>
      <c r="N25" s="22">
        <f t="shared" si="6"/>
        <v>9697.7249999999985</v>
      </c>
      <c r="O25" s="24">
        <f t="shared" si="7"/>
        <v>104519.92499999999</v>
      </c>
    </row>
    <row r="26" spans="4:15">
      <c r="D26" s="23">
        <v>21</v>
      </c>
      <c r="E26" s="2" t="s">
        <v>79</v>
      </c>
      <c r="F26" s="2" t="s">
        <v>89</v>
      </c>
      <c r="G26" s="22">
        <v>52470</v>
      </c>
      <c r="H26" s="22">
        <f t="shared" si="0"/>
        <v>5247</v>
      </c>
      <c r="I26" s="22">
        <f t="shared" si="1"/>
        <v>3935.25</v>
      </c>
      <c r="J26" s="22">
        <f t="shared" si="2"/>
        <v>7870.5</v>
      </c>
      <c r="K26" s="22">
        <f t="shared" si="3"/>
        <v>69522.75</v>
      </c>
      <c r="L26" s="22">
        <f t="shared" si="4"/>
        <v>3935.25</v>
      </c>
      <c r="M26" s="22">
        <f t="shared" si="5"/>
        <v>1967.625</v>
      </c>
      <c r="N26" s="22">
        <f t="shared" si="6"/>
        <v>5902.875</v>
      </c>
      <c r="O26" s="24">
        <f t="shared" si="7"/>
        <v>63619.875</v>
      </c>
    </row>
    <row r="27" spans="4:15">
      <c r="D27" s="23">
        <v>22</v>
      </c>
      <c r="E27" s="2" t="s">
        <v>80</v>
      </c>
      <c r="F27" s="2" t="s">
        <v>88</v>
      </c>
      <c r="G27" s="22">
        <v>78840</v>
      </c>
      <c r="H27" s="22">
        <f t="shared" si="0"/>
        <v>7884</v>
      </c>
      <c r="I27" s="22">
        <f t="shared" si="1"/>
        <v>5913</v>
      </c>
      <c r="J27" s="22">
        <f t="shared" si="2"/>
        <v>11826</v>
      </c>
      <c r="K27" s="22">
        <f t="shared" si="3"/>
        <v>104463</v>
      </c>
      <c r="L27" s="22">
        <f t="shared" si="4"/>
        <v>5913</v>
      </c>
      <c r="M27" s="22">
        <f t="shared" si="5"/>
        <v>2956.5</v>
      </c>
      <c r="N27" s="22">
        <f t="shared" si="6"/>
        <v>8869.5</v>
      </c>
      <c r="O27" s="24">
        <f t="shared" si="7"/>
        <v>95593.5</v>
      </c>
    </row>
    <row r="28" spans="4:15">
      <c r="D28" s="25">
        <v>23</v>
      </c>
      <c r="E28" s="26" t="s">
        <v>84</v>
      </c>
      <c r="F28" s="26" t="s">
        <v>89</v>
      </c>
      <c r="G28" s="27">
        <v>85917</v>
      </c>
      <c r="H28" s="27">
        <f t="shared" si="0"/>
        <v>8591.7000000000007</v>
      </c>
      <c r="I28" s="27">
        <f t="shared" si="1"/>
        <v>6443.7749999999996</v>
      </c>
      <c r="J28" s="27">
        <f t="shared" si="2"/>
        <v>12887.55</v>
      </c>
      <c r="K28" s="27">
        <f t="shared" si="3"/>
        <v>113840.02499999999</v>
      </c>
      <c r="L28" s="27">
        <f t="shared" si="4"/>
        <v>6443.7749999999996</v>
      </c>
      <c r="M28" s="27">
        <f t="shared" si="5"/>
        <v>3221.8874999999998</v>
      </c>
      <c r="N28" s="27">
        <f t="shared" si="6"/>
        <v>9665.6624999999985</v>
      </c>
      <c r="O28" s="28">
        <f t="shared" si="7"/>
        <v>104174.36249999999</v>
      </c>
    </row>
    <row r="29" spans="4:15">
      <c r="K29" s="21"/>
      <c r="N29" s="21"/>
    </row>
    <row r="30" spans="4:15">
      <c r="K30" s="21"/>
    </row>
  </sheetData>
  <mergeCells count="2">
    <mergeCell ref="A2:S2"/>
    <mergeCell ref="A3:S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26"/>
  <sheetViews>
    <sheetView topLeftCell="AF1" zoomScaleNormal="100" workbookViewId="0">
      <selection activeCell="AV14" sqref="AV14"/>
    </sheetView>
  </sheetViews>
  <sheetFormatPr defaultRowHeight="15"/>
  <cols>
    <col min="1" max="1" width="11" customWidth="1"/>
    <col min="2" max="2" width="15" customWidth="1"/>
    <col min="3" max="3" width="11" customWidth="1"/>
    <col min="4" max="4" width="14.140625" customWidth="1"/>
    <col min="5" max="5" width="11" style="34" customWidth="1"/>
    <col min="6" max="8" width="11" customWidth="1"/>
    <col min="9" max="11" width="12.140625" customWidth="1"/>
    <col min="12" max="12" width="12.140625" style="34" customWidth="1"/>
    <col min="13" max="14" width="12.140625" customWidth="1"/>
    <col min="15" max="15" width="12.140625" style="35" customWidth="1"/>
    <col min="16" max="18" width="12.140625" customWidth="1"/>
    <col min="19" max="19" width="12.140625" style="34" customWidth="1"/>
    <col min="20" max="21" width="12.140625" customWidth="1"/>
    <col min="22" max="23" width="12.140625" style="44" customWidth="1"/>
    <col min="24" max="25" width="12.140625" customWidth="1"/>
    <col min="26" max="26" width="12.140625" style="34" customWidth="1"/>
    <col min="27" max="32" width="12.140625" customWidth="1"/>
    <col min="33" max="33" width="12.140625" style="34" customWidth="1"/>
    <col min="34" max="36" width="12.140625" customWidth="1"/>
    <col min="37" max="37" width="12.85546875" bestFit="1" customWidth="1"/>
    <col min="38" max="41" width="12.140625" customWidth="1"/>
    <col min="42" max="42" width="12.7109375" customWidth="1"/>
    <col min="43" max="48" width="12.140625" customWidth="1"/>
  </cols>
  <sheetData>
    <row r="1" spans="1:47">
      <c r="A1" s="33" t="s">
        <v>113</v>
      </c>
      <c r="B1" s="33" t="s">
        <v>114</v>
      </c>
      <c r="C1" s="33" t="s">
        <v>115</v>
      </c>
      <c r="D1" s="20" t="s">
        <v>116</v>
      </c>
      <c r="E1" s="36" t="s">
        <v>117</v>
      </c>
      <c r="F1" s="37" t="s">
        <v>118</v>
      </c>
      <c r="G1" s="37" t="s">
        <v>119</v>
      </c>
      <c r="H1" s="37" t="s">
        <v>120</v>
      </c>
      <c r="I1" s="37" t="s">
        <v>121</v>
      </c>
      <c r="J1" s="37" t="s">
        <v>122</v>
      </c>
      <c r="K1" s="37" t="s">
        <v>123</v>
      </c>
      <c r="L1" s="38" t="s">
        <v>124</v>
      </c>
      <c r="M1" s="37" t="s">
        <v>125</v>
      </c>
      <c r="N1" s="37" t="s">
        <v>126</v>
      </c>
      <c r="O1" s="39" t="s">
        <v>127</v>
      </c>
      <c r="P1" s="37" t="s">
        <v>128</v>
      </c>
      <c r="Q1" s="37" t="s">
        <v>129</v>
      </c>
      <c r="R1" s="37" t="s">
        <v>130</v>
      </c>
      <c r="S1" s="38" t="s">
        <v>131</v>
      </c>
      <c r="T1" s="37" t="s">
        <v>132</v>
      </c>
      <c r="U1" s="37" t="s">
        <v>133</v>
      </c>
      <c r="V1" s="43" t="s">
        <v>134</v>
      </c>
      <c r="W1" s="43" t="s">
        <v>135</v>
      </c>
      <c r="X1" s="37" t="s">
        <v>136</v>
      </c>
      <c r="Y1" s="37" t="s">
        <v>137</v>
      </c>
      <c r="Z1" s="38" t="s">
        <v>138</v>
      </c>
      <c r="AA1" s="37" t="s">
        <v>139</v>
      </c>
      <c r="AB1" s="37" t="s">
        <v>140</v>
      </c>
      <c r="AC1" s="37" t="s">
        <v>141</v>
      </c>
      <c r="AD1" s="37" t="s">
        <v>142</v>
      </c>
      <c r="AE1" s="37" t="s">
        <v>143</v>
      </c>
      <c r="AF1" s="37" t="s">
        <v>144</v>
      </c>
      <c r="AG1" s="38" t="s">
        <v>145</v>
      </c>
      <c r="AH1" s="37" t="s">
        <v>146</v>
      </c>
      <c r="AI1" s="37" t="s">
        <v>147</v>
      </c>
      <c r="AJ1" s="33" t="s">
        <v>148</v>
      </c>
      <c r="AK1" s="20" t="s">
        <v>149</v>
      </c>
      <c r="AL1" s="20" t="s">
        <v>150</v>
      </c>
      <c r="AM1" s="20" t="s">
        <v>151</v>
      </c>
      <c r="AN1" s="20" t="s">
        <v>152</v>
      </c>
      <c r="AO1" s="33" t="s">
        <v>153</v>
      </c>
      <c r="AP1" s="33" t="s">
        <v>154</v>
      </c>
      <c r="AQ1" s="33" t="s">
        <v>155</v>
      </c>
      <c r="AR1" s="33" t="s">
        <v>156</v>
      </c>
      <c r="AS1" s="33" t="s">
        <v>157</v>
      </c>
      <c r="AT1" s="33" t="s">
        <v>158</v>
      </c>
      <c r="AU1" s="33" t="s">
        <v>159</v>
      </c>
    </row>
    <row r="2" spans="1:47" ht="30">
      <c r="A2" s="41" t="s">
        <v>3</v>
      </c>
      <c r="B2" s="41" t="s">
        <v>92</v>
      </c>
      <c r="C2" s="41" t="s">
        <v>93</v>
      </c>
      <c r="D2" s="42" t="s">
        <v>95</v>
      </c>
      <c r="E2" s="36" t="s">
        <v>102</v>
      </c>
      <c r="F2" s="40" t="s">
        <v>96</v>
      </c>
      <c r="G2" s="40" t="s">
        <v>97</v>
      </c>
      <c r="H2" s="40" t="s">
        <v>98</v>
      </c>
      <c r="I2" s="40" t="s">
        <v>99</v>
      </c>
      <c r="J2" s="40" t="s">
        <v>100</v>
      </c>
      <c r="K2" s="40" t="s">
        <v>101</v>
      </c>
      <c r="L2" s="38" t="s">
        <v>102</v>
      </c>
      <c r="M2" s="40" t="s">
        <v>96</v>
      </c>
      <c r="N2" s="40" t="s">
        <v>97</v>
      </c>
      <c r="O2" s="43" t="s">
        <v>98</v>
      </c>
      <c r="P2" s="40" t="s">
        <v>99</v>
      </c>
      <c r="Q2" s="40" t="s">
        <v>100</v>
      </c>
      <c r="R2" s="40" t="s">
        <v>101</v>
      </c>
      <c r="S2" s="38" t="s">
        <v>102</v>
      </c>
      <c r="T2" s="40" t="s">
        <v>96</v>
      </c>
      <c r="U2" s="40" t="s">
        <v>97</v>
      </c>
      <c r="V2" s="43" t="s">
        <v>98</v>
      </c>
      <c r="W2" s="43" t="s">
        <v>99</v>
      </c>
      <c r="X2" s="40" t="s">
        <v>100</v>
      </c>
      <c r="Y2" s="40" t="s">
        <v>101</v>
      </c>
      <c r="Z2" s="38" t="s">
        <v>102</v>
      </c>
      <c r="AA2" s="40" t="s">
        <v>96</v>
      </c>
      <c r="AB2" s="40" t="s">
        <v>97</v>
      </c>
      <c r="AC2" s="40" t="s">
        <v>98</v>
      </c>
      <c r="AD2" s="40" t="s">
        <v>99</v>
      </c>
      <c r="AE2" s="40" t="s">
        <v>100</v>
      </c>
      <c r="AF2" s="40" t="s">
        <v>101</v>
      </c>
      <c r="AG2" s="38" t="s">
        <v>102</v>
      </c>
      <c r="AH2" s="40" t="s">
        <v>96</v>
      </c>
      <c r="AI2" s="40" t="s">
        <v>97</v>
      </c>
      <c r="AJ2" s="41" t="s">
        <v>56</v>
      </c>
      <c r="AK2" s="42"/>
      <c r="AL2" s="42"/>
      <c r="AM2" s="42"/>
      <c r="AN2" s="42"/>
      <c r="AO2" s="41" t="s">
        <v>109</v>
      </c>
      <c r="AP2" s="41" t="s">
        <v>110</v>
      </c>
      <c r="AQ2" s="41" t="s">
        <v>111</v>
      </c>
      <c r="AR2" s="41" t="s">
        <v>58</v>
      </c>
      <c r="AS2" s="41" t="s">
        <v>60</v>
      </c>
      <c r="AT2" s="41" t="s">
        <v>112</v>
      </c>
      <c r="AU2" s="41" t="s">
        <v>64</v>
      </c>
    </row>
    <row r="3" spans="1:47">
      <c r="A3" s="41"/>
      <c r="B3" s="41"/>
      <c r="C3" s="41"/>
      <c r="D3" s="42" t="s">
        <v>94</v>
      </c>
      <c r="E3" s="38">
        <v>1</v>
      </c>
      <c r="F3" s="40">
        <v>2</v>
      </c>
      <c r="G3" s="40">
        <v>3</v>
      </c>
      <c r="H3" s="40">
        <v>4</v>
      </c>
      <c r="I3" s="40">
        <v>5</v>
      </c>
      <c r="J3" s="40">
        <v>6</v>
      </c>
      <c r="K3" s="40">
        <v>7</v>
      </c>
      <c r="L3" s="38">
        <v>8</v>
      </c>
      <c r="M3" s="40">
        <v>9</v>
      </c>
      <c r="N3" s="40">
        <v>10</v>
      </c>
      <c r="O3" s="43">
        <v>11</v>
      </c>
      <c r="P3" s="40">
        <v>12</v>
      </c>
      <c r="Q3" s="40">
        <v>13</v>
      </c>
      <c r="R3" s="40">
        <v>14</v>
      </c>
      <c r="S3" s="38">
        <v>15</v>
      </c>
      <c r="T3" s="40">
        <v>16</v>
      </c>
      <c r="U3" s="40">
        <v>17</v>
      </c>
      <c r="V3" s="43">
        <v>18</v>
      </c>
      <c r="W3" s="43">
        <v>19</v>
      </c>
      <c r="X3" s="40">
        <v>20</v>
      </c>
      <c r="Y3" s="40">
        <v>21</v>
      </c>
      <c r="Z3" s="38">
        <v>22</v>
      </c>
      <c r="AA3" s="40">
        <v>23</v>
      </c>
      <c r="AB3" s="40">
        <v>24</v>
      </c>
      <c r="AC3" s="40">
        <v>25</v>
      </c>
      <c r="AD3" s="40">
        <v>26</v>
      </c>
      <c r="AE3" s="40">
        <v>27</v>
      </c>
      <c r="AF3" s="40">
        <v>28</v>
      </c>
      <c r="AG3" s="38">
        <v>29</v>
      </c>
      <c r="AH3" s="40">
        <v>30</v>
      </c>
      <c r="AI3" s="40">
        <v>31</v>
      </c>
      <c r="AJ3" s="41"/>
      <c r="AK3" s="42" t="s">
        <v>105</v>
      </c>
      <c r="AL3" s="42" t="s">
        <v>106</v>
      </c>
      <c r="AM3" s="42" t="s">
        <v>107</v>
      </c>
      <c r="AN3" s="42" t="s">
        <v>108</v>
      </c>
      <c r="AO3" s="41"/>
      <c r="AP3" s="41"/>
      <c r="AQ3" s="41"/>
      <c r="AR3" s="41"/>
      <c r="AS3" s="41"/>
      <c r="AT3" s="41"/>
      <c r="AU3" s="41"/>
    </row>
    <row r="4" spans="1:47">
      <c r="A4">
        <v>1</v>
      </c>
      <c r="B4" t="s">
        <v>85</v>
      </c>
      <c r="C4" t="s">
        <v>160</v>
      </c>
      <c r="F4" t="s">
        <v>103</v>
      </c>
      <c r="G4" t="s">
        <v>103</v>
      </c>
      <c r="H4" t="s">
        <v>103</v>
      </c>
      <c r="I4" t="s">
        <v>103</v>
      </c>
      <c r="J4" t="s">
        <v>103</v>
      </c>
      <c r="K4" t="s">
        <v>103</v>
      </c>
      <c r="M4" t="s">
        <v>103</v>
      </c>
      <c r="N4" t="s">
        <v>103</v>
      </c>
      <c r="O4" s="44"/>
      <c r="P4" t="s">
        <v>103</v>
      </c>
      <c r="Q4" t="s">
        <v>103</v>
      </c>
      <c r="R4" t="s">
        <v>103</v>
      </c>
      <c r="T4" t="s">
        <v>103</v>
      </c>
      <c r="U4" t="s">
        <v>103</v>
      </c>
      <c r="X4" t="s">
        <v>104</v>
      </c>
      <c r="Y4" t="s">
        <v>103</v>
      </c>
      <c r="AA4" t="s">
        <v>103</v>
      </c>
      <c r="AB4" t="s">
        <v>103</v>
      </c>
      <c r="AC4" t="s">
        <v>103</v>
      </c>
      <c r="AD4" t="s">
        <v>104</v>
      </c>
      <c r="AE4" t="s">
        <v>103</v>
      </c>
      <c r="AF4" t="s">
        <v>103</v>
      </c>
      <c r="AH4" t="s">
        <v>103</v>
      </c>
      <c r="AI4" t="s">
        <v>103</v>
      </c>
      <c r="AJ4">
        <v>68259</v>
      </c>
      <c r="AK4">
        <f>COUNTIF(E4:AI4,"P")</f>
        <v>21</v>
      </c>
      <c r="AL4">
        <f>COUNTIF(E4:AI4,"H")*0.5</f>
        <v>1</v>
      </c>
      <c r="AM4">
        <f>COUNTIF(E4:AI4,"A")</f>
        <v>0</v>
      </c>
      <c r="AN4">
        <f>COUNTIF(E4:AI4,"")</f>
        <v>8</v>
      </c>
      <c r="AO4">
        <f>AK4+AL4+AN4</f>
        <v>30</v>
      </c>
      <c r="AP4">
        <f>AJ4/31</f>
        <v>2201.9032258064517</v>
      </c>
      <c r="AQ4" s="21">
        <f>AO4*AP4</f>
        <v>66057.096774193546</v>
      </c>
      <c r="AR4" t="str">
        <f>IF(AJ4&gt;=60000,"5000","2500")</f>
        <v>5000</v>
      </c>
      <c r="AS4" s="21">
        <f>AQ4+AR4</f>
        <v>71057.096774193546</v>
      </c>
      <c r="AT4" s="21">
        <f>AS4*1.75%</f>
        <v>1243.4991935483872</v>
      </c>
      <c r="AU4" s="21">
        <f>AS4-AT4</f>
        <v>69813.597580645161</v>
      </c>
    </row>
    <row r="5" spans="1:47">
      <c r="A5">
        <v>2</v>
      </c>
      <c r="B5" t="s">
        <v>65</v>
      </c>
      <c r="C5" t="s">
        <v>161</v>
      </c>
      <c r="F5" t="s">
        <v>103</v>
      </c>
      <c r="G5" t="s">
        <v>103</v>
      </c>
      <c r="H5" t="s">
        <v>103</v>
      </c>
      <c r="I5" t="s">
        <v>103</v>
      </c>
      <c r="J5" t="s">
        <v>103</v>
      </c>
      <c r="K5" t="s">
        <v>103</v>
      </c>
      <c r="M5" t="s">
        <v>103</v>
      </c>
      <c r="N5" t="s">
        <v>103</v>
      </c>
      <c r="O5" s="44"/>
      <c r="P5" t="s">
        <v>103</v>
      </c>
      <c r="Q5" t="s">
        <v>103</v>
      </c>
      <c r="R5" t="s">
        <v>103</v>
      </c>
      <c r="T5" t="s">
        <v>103</v>
      </c>
      <c r="U5" t="s">
        <v>103</v>
      </c>
      <c r="X5" t="s">
        <v>103</v>
      </c>
      <c r="Y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F5" t="s">
        <v>103</v>
      </c>
      <c r="AH5" t="s">
        <v>103</v>
      </c>
      <c r="AI5" t="s">
        <v>103</v>
      </c>
      <c r="AJ5">
        <v>81395</v>
      </c>
      <c r="AK5">
        <f t="shared" ref="AK5:AK26" si="0">COUNTIF(E5:AI5,"P")</f>
        <v>23</v>
      </c>
      <c r="AL5">
        <f t="shared" ref="AL5:AL26" si="1">COUNTIF(E5:AI5,"H")*0.5</f>
        <v>0</v>
      </c>
      <c r="AM5">
        <f t="shared" ref="AM5:AM26" si="2">COUNTIF(E5:AI5,"A")</f>
        <v>0</v>
      </c>
      <c r="AN5">
        <f t="shared" ref="AN5:AN26" si="3">COUNTIF(E5:AI5,"")</f>
        <v>8</v>
      </c>
      <c r="AO5">
        <f t="shared" ref="AO5:AO26" si="4">AK5+AL5+AN5</f>
        <v>31</v>
      </c>
      <c r="AP5">
        <f t="shared" ref="AP5:AP26" si="5">AJ5/31</f>
        <v>2625.6451612903224</v>
      </c>
      <c r="AQ5" s="21">
        <f t="shared" ref="AQ5:AQ26" si="6">AO5*AP5</f>
        <v>81395</v>
      </c>
      <c r="AR5" t="str">
        <f t="shared" ref="AR5:AR26" si="7">IF(AJ5&gt;=60000,"5000","2500")</f>
        <v>5000</v>
      </c>
      <c r="AS5" s="21">
        <f t="shared" ref="AS5:AS26" si="8">AQ5+AR5</f>
        <v>86395</v>
      </c>
      <c r="AT5" s="21">
        <f>AS5*1.75%</f>
        <v>1511.9125000000001</v>
      </c>
      <c r="AU5" s="21">
        <f t="shared" ref="AU5:AU26" si="9">AS5-AT5</f>
        <v>84883.087499999994</v>
      </c>
    </row>
    <row r="6" spans="1:47">
      <c r="A6">
        <v>3</v>
      </c>
      <c r="B6" t="s">
        <v>81</v>
      </c>
      <c r="C6" t="s">
        <v>162</v>
      </c>
      <c r="F6" t="s">
        <v>103</v>
      </c>
      <c r="G6" t="s">
        <v>103</v>
      </c>
      <c r="H6" t="s">
        <v>103</v>
      </c>
      <c r="I6" t="s">
        <v>103</v>
      </c>
      <c r="J6" t="s">
        <v>103</v>
      </c>
      <c r="K6" t="s">
        <v>103</v>
      </c>
      <c r="M6" t="s">
        <v>103</v>
      </c>
      <c r="N6" t="s">
        <v>103</v>
      </c>
      <c r="O6" s="44"/>
      <c r="P6" t="s">
        <v>103</v>
      </c>
      <c r="Q6" t="s">
        <v>103</v>
      </c>
      <c r="R6" t="s">
        <v>103</v>
      </c>
      <c r="T6" t="s">
        <v>103</v>
      </c>
      <c r="U6" t="s">
        <v>103</v>
      </c>
      <c r="X6" t="s">
        <v>103</v>
      </c>
      <c r="Y6" t="s">
        <v>103</v>
      </c>
      <c r="AA6" t="s">
        <v>103</v>
      </c>
      <c r="AB6" t="s">
        <v>103</v>
      </c>
      <c r="AC6" t="s">
        <v>104</v>
      </c>
      <c r="AD6" t="s">
        <v>103</v>
      </c>
      <c r="AE6" t="s">
        <v>103</v>
      </c>
      <c r="AF6" t="s">
        <v>103</v>
      </c>
      <c r="AH6" t="s">
        <v>103</v>
      </c>
      <c r="AI6" t="s">
        <v>103</v>
      </c>
      <c r="AJ6">
        <v>73356</v>
      </c>
      <c r="AK6">
        <f t="shared" si="0"/>
        <v>22</v>
      </c>
      <c r="AL6">
        <f t="shared" si="1"/>
        <v>0.5</v>
      </c>
      <c r="AM6">
        <f t="shared" si="2"/>
        <v>0</v>
      </c>
      <c r="AN6">
        <f t="shared" si="3"/>
        <v>8</v>
      </c>
      <c r="AO6">
        <f t="shared" si="4"/>
        <v>30.5</v>
      </c>
      <c r="AP6">
        <f t="shared" si="5"/>
        <v>2366.3225806451615</v>
      </c>
      <c r="AQ6" s="21">
        <f t="shared" si="6"/>
        <v>72172.838709677424</v>
      </c>
      <c r="AR6" t="str">
        <f t="shared" si="7"/>
        <v>5000</v>
      </c>
      <c r="AS6" s="21">
        <f t="shared" si="8"/>
        <v>77172.838709677424</v>
      </c>
      <c r="AT6" s="21">
        <f t="shared" ref="AT6:AT26" si="10">AS6*1.75%</f>
        <v>1350.5246774193552</v>
      </c>
      <c r="AU6" s="21">
        <f t="shared" si="9"/>
        <v>75822.314032258073</v>
      </c>
    </row>
    <row r="7" spans="1:47">
      <c r="A7">
        <v>4</v>
      </c>
      <c r="B7" t="s">
        <v>86</v>
      </c>
      <c r="C7" t="s">
        <v>163</v>
      </c>
      <c r="F7" t="s">
        <v>103</v>
      </c>
      <c r="G7" t="s">
        <v>103</v>
      </c>
      <c r="H7" t="s">
        <v>103</v>
      </c>
      <c r="I7" t="s">
        <v>103</v>
      </c>
      <c r="J7" t="s">
        <v>103</v>
      </c>
      <c r="K7" t="s">
        <v>103</v>
      </c>
      <c r="M7" t="s">
        <v>14</v>
      </c>
      <c r="N7" t="s">
        <v>103</v>
      </c>
      <c r="O7" s="44"/>
      <c r="P7" t="s">
        <v>103</v>
      </c>
      <c r="Q7" t="s">
        <v>103</v>
      </c>
      <c r="R7" t="s">
        <v>103</v>
      </c>
      <c r="T7" t="s">
        <v>103</v>
      </c>
      <c r="U7" t="s">
        <v>103</v>
      </c>
      <c r="X7" t="s">
        <v>103</v>
      </c>
      <c r="Y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F7" t="s">
        <v>103</v>
      </c>
      <c r="AH7" t="s">
        <v>103</v>
      </c>
      <c r="AI7" t="s">
        <v>103</v>
      </c>
      <c r="AJ7">
        <v>51223</v>
      </c>
      <c r="AK7">
        <f t="shared" si="0"/>
        <v>22</v>
      </c>
      <c r="AL7">
        <f t="shared" si="1"/>
        <v>0</v>
      </c>
      <c r="AM7">
        <f t="shared" si="2"/>
        <v>1</v>
      </c>
      <c r="AN7">
        <f t="shared" si="3"/>
        <v>8</v>
      </c>
      <c r="AO7">
        <f t="shared" si="4"/>
        <v>30</v>
      </c>
      <c r="AP7">
        <f t="shared" si="5"/>
        <v>1652.3548387096773</v>
      </c>
      <c r="AQ7" s="21">
        <f t="shared" si="6"/>
        <v>49570.645161290318</v>
      </c>
      <c r="AR7" t="str">
        <f t="shared" si="7"/>
        <v>2500</v>
      </c>
      <c r="AS7" s="21">
        <f t="shared" si="8"/>
        <v>52070.645161290318</v>
      </c>
      <c r="AT7" s="21">
        <f t="shared" si="10"/>
        <v>911.23629032258066</v>
      </c>
      <c r="AU7" s="21">
        <f t="shared" si="9"/>
        <v>51159.408870967738</v>
      </c>
    </row>
    <row r="8" spans="1:47">
      <c r="A8">
        <v>5</v>
      </c>
      <c r="B8" t="s">
        <v>66</v>
      </c>
      <c r="C8" t="s">
        <v>164</v>
      </c>
      <c r="F8" t="s">
        <v>103</v>
      </c>
      <c r="G8" t="s">
        <v>14</v>
      </c>
      <c r="H8" t="s">
        <v>103</v>
      </c>
      <c r="I8" t="s">
        <v>14</v>
      </c>
      <c r="J8" t="s">
        <v>103</v>
      </c>
      <c r="K8" t="s">
        <v>103</v>
      </c>
      <c r="M8" t="s">
        <v>103</v>
      </c>
      <c r="N8" t="s">
        <v>103</v>
      </c>
      <c r="O8" s="44"/>
      <c r="P8" t="s">
        <v>103</v>
      </c>
      <c r="Q8" t="s">
        <v>14</v>
      </c>
      <c r="R8" t="s">
        <v>103</v>
      </c>
      <c r="T8" t="s">
        <v>103</v>
      </c>
      <c r="U8" t="s">
        <v>14</v>
      </c>
      <c r="X8" t="s">
        <v>103</v>
      </c>
      <c r="Y8" t="s">
        <v>14</v>
      </c>
      <c r="AA8" t="s">
        <v>103</v>
      </c>
      <c r="AB8" t="s">
        <v>14</v>
      </c>
      <c r="AC8" t="s">
        <v>103</v>
      </c>
      <c r="AD8" t="s">
        <v>14</v>
      </c>
      <c r="AE8" t="s">
        <v>103</v>
      </c>
      <c r="AF8" t="s">
        <v>103</v>
      </c>
      <c r="AH8" t="s">
        <v>103</v>
      </c>
      <c r="AI8" t="s">
        <v>103</v>
      </c>
      <c r="AJ8">
        <v>53190</v>
      </c>
      <c r="AK8">
        <f t="shared" si="0"/>
        <v>16</v>
      </c>
      <c r="AL8">
        <f t="shared" si="1"/>
        <v>0</v>
      </c>
      <c r="AM8">
        <f t="shared" si="2"/>
        <v>7</v>
      </c>
      <c r="AN8">
        <f t="shared" si="3"/>
        <v>8</v>
      </c>
      <c r="AO8">
        <f t="shared" si="4"/>
        <v>24</v>
      </c>
      <c r="AP8">
        <f t="shared" si="5"/>
        <v>1715.8064516129032</v>
      </c>
      <c r="AQ8" s="21">
        <f t="shared" si="6"/>
        <v>41179.354838709674</v>
      </c>
      <c r="AR8" t="str">
        <f t="shared" si="7"/>
        <v>2500</v>
      </c>
      <c r="AS8" s="21">
        <f t="shared" si="8"/>
        <v>43679.354838709674</v>
      </c>
      <c r="AT8" s="21">
        <f t="shared" si="10"/>
        <v>764.38870967741934</v>
      </c>
      <c r="AU8" s="21">
        <f t="shared" si="9"/>
        <v>42914.966129032255</v>
      </c>
    </row>
    <row r="9" spans="1:47">
      <c r="A9">
        <v>6</v>
      </c>
      <c r="B9" t="s">
        <v>87</v>
      </c>
      <c r="C9" t="s">
        <v>165</v>
      </c>
      <c r="F9" t="s">
        <v>103</v>
      </c>
      <c r="G9" t="s">
        <v>103</v>
      </c>
      <c r="H9" t="s">
        <v>103</v>
      </c>
      <c r="I9" t="s">
        <v>103</v>
      </c>
      <c r="J9" t="s">
        <v>103</v>
      </c>
      <c r="K9" t="s">
        <v>103</v>
      </c>
      <c r="M9" t="s">
        <v>103</v>
      </c>
      <c r="N9" t="s">
        <v>103</v>
      </c>
      <c r="O9" s="44"/>
      <c r="P9" t="s">
        <v>103</v>
      </c>
      <c r="Q9" t="s">
        <v>103</v>
      </c>
      <c r="R9" t="s">
        <v>103</v>
      </c>
      <c r="T9" t="s">
        <v>103</v>
      </c>
      <c r="U9" t="s">
        <v>103</v>
      </c>
      <c r="X9" t="s">
        <v>103</v>
      </c>
      <c r="Y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F9" t="s">
        <v>103</v>
      </c>
      <c r="AH9" t="s">
        <v>103</v>
      </c>
      <c r="AI9" t="s">
        <v>103</v>
      </c>
      <c r="AJ9">
        <v>80146</v>
      </c>
      <c r="AK9">
        <f t="shared" si="0"/>
        <v>23</v>
      </c>
      <c r="AL9">
        <f t="shared" si="1"/>
        <v>0</v>
      </c>
      <c r="AM9">
        <f t="shared" si="2"/>
        <v>0</v>
      </c>
      <c r="AN9">
        <f t="shared" si="3"/>
        <v>8</v>
      </c>
      <c r="AO9">
        <f t="shared" si="4"/>
        <v>31</v>
      </c>
      <c r="AP9">
        <f t="shared" si="5"/>
        <v>2585.3548387096776</v>
      </c>
      <c r="AQ9" s="21">
        <f t="shared" si="6"/>
        <v>80146</v>
      </c>
      <c r="AR9" t="str">
        <f t="shared" si="7"/>
        <v>5000</v>
      </c>
      <c r="AS9" s="21">
        <f t="shared" si="8"/>
        <v>85146</v>
      </c>
      <c r="AT9" s="21">
        <f t="shared" si="10"/>
        <v>1490.0550000000001</v>
      </c>
      <c r="AU9" s="21">
        <f t="shared" si="9"/>
        <v>83655.945000000007</v>
      </c>
    </row>
    <row r="10" spans="1:47">
      <c r="A10">
        <v>7</v>
      </c>
      <c r="B10" t="s">
        <v>67</v>
      </c>
      <c r="C10" t="s">
        <v>166</v>
      </c>
      <c r="F10" t="s">
        <v>103</v>
      </c>
      <c r="G10" t="s">
        <v>103</v>
      </c>
      <c r="H10" t="s">
        <v>103</v>
      </c>
      <c r="I10" t="s">
        <v>104</v>
      </c>
      <c r="J10" t="s">
        <v>103</v>
      </c>
      <c r="K10" t="s">
        <v>103</v>
      </c>
      <c r="M10" t="s">
        <v>103</v>
      </c>
      <c r="N10" t="s">
        <v>103</v>
      </c>
      <c r="O10" s="44"/>
      <c r="P10" t="s">
        <v>103</v>
      </c>
      <c r="Q10" t="s">
        <v>104</v>
      </c>
      <c r="R10" t="s">
        <v>103</v>
      </c>
      <c r="T10" t="s">
        <v>103</v>
      </c>
      <c r="U10" t="s">
        <v>103</v>
      </c>
      <c r="X10" t="s">
        <v>103</v>
      </c>
      <c r="Y10" t="s">
        <v>104</v>
      </c>
      <c r="AA10" t="s">
        <v>103</v>
      </c>
      <c r="AB10" t="s">
        <v>103</v>
      </c>
      <c r="AC10" t="s">
        <v>103</v>
      </c>
      <c r="AD10" t="s">
        <v>104</v>
      </c>
      <c r="AE10" t="s">
        <v>103</v>
      </c>
      <c r="AF10" t="s">
        <v>103</v>
      </c>
      <c r="AH10" t="s">
        <v>103</v>
      </c>
      <c r="AI10" t="s">
        <v>103</v>
      </c>
      <c r="AJ10">
        <v>85686</v>
      </c>
      <c r="AK10">
        <f t="shared" si="0"/>
        <v>19</v>
      </c>
      <c r="AL10">
        <f t="shared" si="1"/>
        <v>2</v>
      </c>
      <c r="AM10">
        <f t="shared" si="2"/>
        <v>0</v>
      </c>
      <c r="AN10">
        <f t="shared" si="3"/>
        <v>8</v>
      </c>
      <c r="AO10">
        <f t="shared" si="4"/>
        <v>29</v>
      </c>
      <c r="AP10">
        <f t="shared" si="5"/>
        <v>2764.0645161290322</v>
      </c>
      <c r="AQ10" s="21">
        <f t="shared" si="6"/>
        <v>80157.870967741939</v>
      </c>
      <c r="AR10" t="str">
        <f t="shared" si="7"/>
        <v>5000</v>
      </c>
      <c r="AS10" s="21">
        <f t="shared" si="8"/>
        <v>85157.870967741939</v>
      </c>
      <c r="AT10" s="21">
        <f t="shared" si="10"/>
        <v>1490.262741935484</v>
      </c>
      <c r="AU10" s="21">
        <f t="shared" si="9"/>
        <v>83667.608225806456</v>
      </c>
    </row>
    <row r="11" spans="1:47">
      <c r="A11">
        <v>8</v>
      </c>
      <c r="B11" t="s">
        <v>68</v>
      </c>
      <c r="C11" t="s">
        <v>167</v>
      </c>
      <c r="F11" t="s">
        <v>14</v>
      </c>
      <c r="G11" t="s">
        <v>103</v>
      </c>
      <c r="H11" t="s">
        <v>103</v>
      </c>
      <c r="I11" t="s">
        <v>103</v>
      </c>
      <c r="J11" t="s">
        <v>103</v>
      </c>
      <c r="K11" t="s">
        <v>103</v>
      </c>
      <c r="M11" t="s">
        <v>103</v>
      </c>
      <c r="N11" t="s">
        <v>14</v>
      </c>
      <c r="O11" s="44"/>
      <c r="P11" t="s">
        <v>103</v>
      </c>
      <c r="Q11" t="s">
        <v>103</v>
      </c>
      <c r="R11" t="s">
        <v>103</v>
      </c>
      <c r="T11" t="s">
        <v>14</v>
      </c>
      <c r="U11" t="s">
        <v>103</v>
      </c>
      <c r="X11" t="s">
        <v>103</v>
      </c>
      <c r="Y11" t="s">
        <v>103</v>
      </c>
      <c r="AA11" t="s">
        <v>14</v>
      </c>
      <c r="AB11" t="s">
        <v>103</v>
      </c>
      <c r="AC11" t="s">
        <v>103</v>
      </c>
      <c r="AD11" t="s">
        <v>103</v>
      </c>
      <c r="AE11" t="s">
        <v>103</v>
      </c>
      <c r="AF11" t="s">
        <v>103</v>
      </c>
      <c r="AH11" t="s">
        <v>103</v>
      </c>
      <c r="AI11" t="s">
        <v>103</v>
      </c>
      <c r="AJ11">
        <v>78374</v>
      </c>
      <c r="AK11">
        <f t="shared" si="0"/>
        <v>19</v>
      </c>
      <c r="AL11">
        <f t="shared" si="1"/>
        <v>0</v>
      </c>
      <c r="AM11">
        <f t="shared" si="2"/>
        <v>4</v>
      </c>
      <c r="AN11">
        <f t="shared" si="3"/>
        <v>8</v>
      </c>
      <c r="AO11">
        <f t="shared" si="4"/>
        <v>27</v>
      </c>
      <c r="AP11">
        <f t="shared" si="5"/>
        <v>2528.1935483870966</v>
      </c>
      <c r="AQ11" s="21">
        <f t="shared" si="6"/>
        <v>68261.225806451606</v>
      </c>
      <c r="AR11" t="str">
        <f t="shared" si="7"/>
        <v>5000</v>
      </c>
      <c r="AS11" s="21">
        <f t="shared" si="8"/>
        <v>73261.225806451606</v>
      </c>
      <c r="AT11" s="21">
        <f t="shared" si="10"/>
        <v>1282.0714516129033</v>
      </c>
      <c r="AU11" s="21">
        <f t="shared" si="9"/>
        <v>71979.154354838698</v>
      </c>
    </row>
    <row r="12" spans="1:47">
      <c r="A12">
        <v>9</v>
      </c>
      <c r="B12" t="s">
        <v>69</v>
      </c>
      <c r="C12" t="s">
        <v>168</v>
      </c>
      <c r="F12" t="s">
        <v>103</v>
      </c>
      <c r="G12" t="s">
        <v>103</v>
      </c>
      <c r="H12" t="s">
        <v>103</v>
      </c>
      <c r="I12" t="s">
        <v>103</v>
      </c>
      <c r="J12" t="s">
        <v>103</v>
      </c>
      <c r="K12" t="s">
        <v>103</v>
      </c>
      <c r="M12" t="s">
        <v>103</v>
      </c>
      <c r="N12" t="s">
        <v>103</v>
      </c>
      <c r="O12" s="44"/>
      <c r="P12" t="s">
        <v>103</v>
      </c>
      <c r="Q12" t="s">
        <v>103</v>
      </c>
      <c r="R12" t="s">
        <v>103</v>
      </c>
      <c r="T12" t="s">
        <v>103</v>
      </c>
      <c r="U12" t="s">
        <v>103</v>
      </c>
      <c r="X12" t="s">
        <v>103</v>
      </c>
      <c r="Y12" t="s">
        <v>103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F12" t="s">
        <v>103</v>
      </c>
      <c r="AH12" t="s">
        <v>14</v>
      </c>
      <c r="AI12" t="s">
        <v>104</v>
      </c>
      <c r="AJ12">
        <v>72937</v>
      </c>
      <c r="AK12">
        <f t="shared" si="0"/>
        <v>21</v>
      </c>
      <c r="AL12">
        <f t="shared" si="1"/>
        <v>0.5</v>
      </c>
      <c r="AM12">
        <f t="shared" si="2"/>
        <v>1</v>
      </c>
      <c r="AN12">
        <f t="shared" si="3"/>
        <v>8</v>
      </c>
      <c r="AO12">
        <f t="shared" si="4"/>
        <v>29.5</v>
      </c>
      <c r="AP12">
        <f t="shared" si="5"/>
        <v>2352.8064516129034</v>
      </c>
      <c r="AQ12" s="21">
        <f t="shared" si="6"/>
        <v>69407.790322580651</v>
      </c>
      <c r="AR12" t="str">
        <f t="shared" si="7"/>
        <v>5000</v>
      </c>
      <c r="AS12" s="21">
        <f t="shared" si="8"/>
        <v>74407.790322580651</v>
      </c>
      <c r="AT12" s="21">
        <f t="shared" si="10"/>
        <v>1302.1363306451615</v>
      </c>
      <c r="AU12" s="21">
        <f t="shared" si="9"/>
        <v>73105.653991935484</v>
      </c>
    </row>
    <row r="13" spans="1:47">
      <c r="A13">
        <v>10</v>
      </c>
      <c r="B13" t="s">
        <v>82</v>
      </c>
      <c r="C13" t="s">
        <v>169</v>
      </c>
      <c r="F13" t="s">
        <v>103</v>
      </c>
      <c r="G13" t="s">
        <v>103</v>
      </c>
      <c r="H13" t="s">
        <v>103</v>
      </c>
      <c r="I13" t="s">
        <v>103</v>
      </c>
      <c r="J13" t="s">
        <v>14</v>
      </c>
      <c r="K13" t="s">
        <v>104</v>
      </c>
      <c r="M13" t="s">
        <v>103</v>
      </c>
      <c r="N13" t="s">
        <v>103</v>
      </c>
      <c r="O13" s="44"/>
      <c r="P13" t="s">
        <v>103</v>
      </c>
      <c r="Q13" t="s">
        <v>103</v>
      </c>
      <c r="R13" t="s">
        <v>14</v>
      </c>
      <c r="T13" t="s">
        <v>103</v>
      </c>
      <c r="U13" t="s">
        <v>103</v>
      </c>
      <c r="X13" t="s">
        <v>103</v>
      </c>
      <c r="Y13" t="s">
        <v>103</v>
      </c>
      <c r="AA13" t="s">
        <v>103</v>
      </c>
      <c r="AB13" t="s">
        <v>103</v>
      </c>
      <c r="AC13" t="s">
        <v>103</v>
      </c>
      <c r="AD13" t="s">
        <v>103</v>
      </c>
      <c r="AE13" t="s">
        <v>14</v>
      </c>
      <c r="AF13" t="s">
        <v>104</v>
      </c>
      <c r="AH13" t="s">
        <v>103</v>
      </c>
      <c r="AI13" t="s">
        <v>103</v>
      </c>
      <c r="AJ13">
        <v>61385</v>
      </c>
      <c r="AK13">
        <f t="shared" si="0"/>
        <v>18</v>
      </c>
      <c r="AL13">
        <f t="shared" si="1"/>
        <v>1</v>
      </c>
      <c r="AM13">
        <f t="shared" si="2"/>
        <v>3</v>
      </c>
      <c r="AN13">
        <f t="shared" si="3"/>
        <v>8</v>
      </c>
      <c r="AO13">
        <f t="shared" si="4"/>
        <v>27</v>
      </c>
      <c r="AP13">
        <f t="shared" si="5"/>
        <v>1980.1612903225807</v>
      </c>
      <c r="AQ13" s="21">
        <f t="shared" si="6"/>
        <v>53464.354838709682</v>
      </c>
      <c r="AR13" t="str">
        <f t="shared" si="7"/>
        <v>5000</v>
      </c>
      <c r="AS13" s="21">
        <f t="shared" si="8"/>
        <v>58464.354838709682</v>
      </c>
      <c r="AT13" s="21">
        <f t="shared" si="10"/>
        <v>1023.1262096774195</v>
      </c>
      <c r="AU13" s="21">
        <f t="shared" si="9"/>
        <v>57441.228629032259</v>
      </c>
    </row>
    <row r="14" spans="1:47">
      <c r="A14">
        <v>11</v>
      </c>
      <c r="B14" t="s">
        <v>70</v>
      </c>
      <c r="C14" t="s">
        <v>170</v>
      </c>
      <c r="F14" t="s">
        <v>103</v>
      </c>
      <c r="G14" t="s">
        <v>103</v>
      </c>
      <c r="H14" t="s">
        <v>103</v>
      </c>
      <c r="I14" t="s">
        <v>103</v>
      </c>
      <c r="J14" t="s">
        <v>103</v>
      </c>
      <c r="K14" t="s">
        <v>103</v>
      </c>
      <c r="M14" t="s">
        <v>103</v>
      </c>
      <c r="N14" t="s">
        <v>103</v>
      </c>
      <c r="O14" s="44"/>
      <c r="P14" t="s">
        <v>103</v>
      </c>
      <c r="Q14" t="s">
        <v>103</v>
      </c>
      <c r="R14" t="s">
        <v>103</v>
      </c>
      <c r="T14" t="s">
        <v>103</v>
      </c>
      <c r="U14" t="s">
        <v>103</v>
      </c>
      <c r="X14" t="s">
        <v>103</v>
      </c>
      <c r="Y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F14" t="s">
        <v>103</v>
      </c>
      <c r="AH14" t="s">
        <v>103</v>
      </c>
      <c r="AI14" t="s">
        <v>103</v>
      </c>
      <c r="AJ14">
        <v>76679</v>
      </c>
      <c r="AK14">
        <f t="shared" si="0"/>
        <v>23</v>
      </c>
      <c r="AL14">
        <f t="shared" si="1"/>
        <v>0</v>
      </c>
      <c r="AM14">
        <f t="shared" si="2"/>
        <v>0</v>
      </c>
      <c r="AN14">
        <f t="shared" si="3"/>
        <v>8</v>
      </c>
      <c r="AO14">
        <f t="shared" si="4"/>
        <v>31</v>
      </c>
      <c r="AP14">
        <f t="shared" si="5"/>
        <v>2473.516129032258</v>
      </c>
      <c r="AQ14" s="21">
        <f t="shared" si="6"/>
        <v>76679</v>
      </c>
      <c r="AR14" t="str">
        <f t="shared" si="7"/>
        <v>5000</v>
      </c>
      <c r="AS14" s="21">
        <f t="shared" si="8"/>
        <v>81679</v>
      </c>
      <c r="AT14" s="21">
        <f t="shared" si="10"/>
        <v>1429.3825000000002</v>
      </c>
      <c r="AU14" s="21">
        <f t="shared" si="9"/>
        <v>80249.617499999993</v>
      </c>
    </row>
    <row r="15" spans="1:47">
      <c r="A15">
        <v>12</v>
      </c>
      <c r="B15" t="s">
        <v>71</v>
      </c>
      <c r="C15" t="s">
        <v>171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M15" t="s">
        <v>14</v>
      </c>
      <c r="N15" t="s">
        <v>104</v>
      </c>
      <c r="O15" s="44"/>
      <c r="P15" t="s">
        <v>103</v>
      </c>
      <c r="Q15" t="s">
        <v>103</v>
      </c>
      <c r="R15" t="s">
        <v>103</v>
      </c>
      <c r="T15" t="s">
        <v>103</v>
      </c>
      <c r="U15" t="s">
        <v>103</v>
      </c>
      <c r="X15" t="s">
        <v>103</v>
      </c>
      <c r="Y15" t="s">
        <v>103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F15" t="s">
        <v>103</v>
      </c>
      <c r="AH15" t="s">
        <v>103</v>
      </c>
      <c r="AI15" t="s">
        <v>103</v>
      </c>
      <c r="AJ15">
        <v>60493</v>
      </c>
      <c r="AK15">
        <f t="shared" si="0"/>
        <v>21</v>
      </c>
      <c r="AL15">
        <f t="shared" si="1"/>
        <v>0.5</v>
      </c>
      <c r="AM15">
        <f t="shared" si="2"/>
        <v>1</v>
      </c>
      <c r="AN15">
        <f t="shared" si="3"/>
        <v>8</v>
      </c>
      <c r="AO15">
        <f t="shared" si="4"/>
        <v>29.5</v>
      </c>
      <c r="AP15">
        <f t="shared" si="5"/>
        <v>1951.3870967741937</v>
      </c>
      <c r="AQ15" s="21">
        <f t="shared" si="6"/>
        <v>57565.919354838712</v>
      </c>
      <c r="AR15" t="str">
        <f t="shared" si="7"/>
        <v>5000</v>
      </c>
      <c r="AS15" s="21">
        <f t="shared" si="8"/>
        <v>62565.919354838712</v>
      </c>
      <c r="AT15" s="21">
        <f t="shared" si="10"/>
        <v>1094.9035887096775</v>
      </c>
      <c r="AU15" s="21">
        <f t="shared" si="9"/>
        <v>61471.015766129036</v>
      </c>
    </row>
    <row r="16" spans="1:47">
      <c r="A16">
        <v>13</v>
      </c>
      <c r="B16" t="s">
        <v>72</v>
      </c>
      <c r="C16" t="s">
        <v>172</v>
      </c>
      <c r="F16" t="s">
        <v>103</v>
      </c>
      <c r="G16" t="s">
        <v>103</v>
      </c>
      <c r="H16" t="s">
        <v>103</v>
      </c>
      <c r="I16" t="s">
        <v>103</v>
      </c>
      <c r="J16" t="s">
        <v>103</v>
      </c>
      <c r="K16" t="s">
        <v>103</v>
      </c>
      <c r="M16" t="s">
        <v>103</v>
      </c>
      <c r="N16" t="s">
        <v>103</v>
      </c>
      <c r="O16" s="44"/>
      <c r="P16" t="s">
        <v>103</v>
      </c>
      <c r="Q16" t="s">
        <v>103</v>
      </c>
      <c r="R16" t="s">
        <v>103</v>
      </c>
      <c r="T16" t="s">
        <v>103</v>
      </c>
      <c r="U16" t="s">
        <v>103</v>
      </c>
      <c r="X16" t="s">
        <v>103</v>
      </c>
      <c r="Y16" t="s">
        <v>103</v>
      </c>
      <c r="AA16" t="s">
        <v>103</v>
      </c>
      <c r="AB16" t="s">
        <v>103</v>
      </c>
      <c r="AC16" t="s">
        <v>103</v>
      </c>
      <c r="AD16" t="s">
        <v>103</v>
      </c>
      <c r="AE16" t="s">
        <v>103</v>
      </c>
      <c r="AF16" t="s">
        <v>103</v>
      </c>
      <c r="AH16" t="s">
        <v>103</v>
      </c>
      <c r="AI16" t="s">
        <v>103</v>
      </c>
      <c r="AJ16">
        <v>85481</v>
      </c>
      <c r="AK16">
        <f t="shared" si="0"/>
        <v>23</v>
      </c>
      <c r="AL16">
        <f t="shared" si="1"/>
        <v>0</v>
      </c>
      <c r="AM16">
        <f t="shared" si="2"/>
        <v>0</v>
      </c>
      <c r="AN16">
        <f t="shared" si="3"/>
        <v>8</v>
      </c>
      <c r="AO16">
        <f t="shared" si="4"/>
        <v>31</v>
      </c>
      <c r="AP16">
        <f t="shared" si="5"/>
        <v>2757.4516129032259</v>
      </c>
      <c r="AQ16" s="21">
        <f t="shared" si="6"/>
        <v>85481</v>
      </c>
      <c r="AR16" t="str">
        <f t="shared" si="7"/>
        <v>5000</v>
      </c>
      <c r="AS16" s="21">
        <f t="shared" si="8"/>
        <v>90481</v>
      </c>
      <c r="AT16" s="21">
        <f t="shared" si="10"/>
        <v>1583.4175000000002</v>
      </c>
      <c r="AU16" s="21">
        <f t="shared" si="9"/>
        <v>88897.582500000004</v>
      </c>
    </row>
    <row r="17" spans="1:47">
      <c r="A17">
        <v>14</v>
      </c>
      <c r="B17" t="s">
        <v>83</v>
      </c>
      <c r="C17" t="s">
        <v>173</v>
      </c>
      <c r="F17" t="s">
        <v>103</v>
      </c>
      <c r="G17" t="s">
        <v>103</v>
      </c>
      <c r="H17" t="s">
        <v>103</v>
      </c>
      <c r="I17" t="s">
        <v>103</v>
      </c>
      <c r="J17" t="s">
        <v>103</v>
      </c>
      <c r="K17" t="s">
        <v>103</v>
      </c>
      <c r="M17" t="s">
        <v>103</v>
      </c>
      <c r="N17" t="s">
        <v>103</v>
      </c>
      <c r="O17" s="44"/>
      <c r="P17" t="s">
        <v>103</v>
      </c>
      <c r="Q17" t="s">
        <v>103</v>
      </c>
      <c r="R17" t="s">
        <v>103</v>
      </c>
      <c r="T17" t="s">
        <v>103</v>
      </c>
      <c r="U17" t="s">
        <v>103</v>
      </c>
      <c r="X17" t="s">
        <v>103</v>
      </c>
      <c r="Y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F17" t="s">
        <v>103</v>
      </c>
      <c r="AH17" t="s">
        <v>103</v>
      </c>
      <c r="AI17" t="s">
        <v>103</v>
      </c>
      <c r="AJ17">
        <v>59597</v>
      </c>
      <c r="AK17">
        <f t="shared" si="0"/>
        <v>23</v>
      </c>
      <c r="AL17">
        <f t="shared" si="1"/>
        <v>0</v>
      </c>
      <c r="AM17">
        <f t="shared" si="2"/>
        <v>0</v>
      </c>
      <c r="AN17">
        <f t="shared" si="3"/>
        <v>8</v>
      </c>
      <c r="AO17">
        <f t="shared" si="4"/>
        <v>31</v>
      </c>
      <c r="AP17">
        <f t="shared" si="5"/>
        <v>1922.483870967742</v>
      </c>
      <c r="AQ17" s="21">
        <f t="shared" si="6"/>
        <v>59597</v>
      </c>
      <c r="AR17" t="str">
        <f t="shared" si="7"/>
        <v>2500</v>
      </c>
      <c r="AS17" s="21">
        <f t="shared" si="8"/>
        <v>62097</v>
      </c>
      <c r="AT17" s="21">
        <f t="shared" si="10"/>
        <v>1086.6975</v>
      </c>
      <c r="AU17" s="21">
        <f t="shared" si="9"/>
        <v>61010.302499999998</v>
      </c>
    </row>
    <row r="18" spans="1:47">
      <c r="A18">
        <v>15</v>
      </c>
      <c r="B18" t="s">
        <v>73</v>
      </c>
      <c r="C18" t="s">
        <v>174</v>
      </c>
      <c r="F18" t="s">
        <v>103</v>
      </c>
      <c r="G18" t="s">
        <v>14</v>
      </c>
      <c r="H18" t="s">
        <v>103</v>
      </c>
      <c r="I18" t="s">
        <v>103</v>
      </c>
      <c r="J18" t="s">
        <v>103</v>
      </c>
      <c r="K18" t="s">
        <v>103</v>
      </c>
      <c r="M18" t="s">
        <v>103</v>
      </c>
      <c r="N18" t="s">
        <v>103</v>
      </c>
      <c r="O18" s="44"/>
      <c r="P18" t="s">
        <v>103</v>
      </c>
      <c r="Q18" t="s">
        <v>103</v>
      </c>
      <c r="R18" t="s">
        <v>103</v>
      </c>
      <c r="T18" t="s">
        <v>103</v>
      </c>
      <c r="U18" t="s">
        <v>14</v>
      </c>
      <c r="X18" t="s">
        <v>103</v>
      </c>
      <c r="Y18" t="s">
        <v>103</v>
      </c>
      <c r="AA18" t="s">
        <v>103</v>
      </c>
      <c r="AB18" t="s">
        <v>14</v>
      </c>
      <c r="AC18" t="s">
        <v>103</v>
      </c>
      <c r="AD18" t="s">
        <v>103</v>
      </c>
      <c r="AE18" t="s">
        <v>103</v>
      </c>
      <c r="AF18" t="s">
        <v>103</v>
      </c>
      <c r="AH18" t="s">
        <v>103</v>
      </c>
      <c r="AI18" t="s">
        <v>103</v>
      </c>
      <c r="AJ18">
        <v>64330</v>
      </c>
      <c r="AK18">
        <f t="shared" si="0"/>
        <v>20</v>
      </c>
      <c r="AL18">
        <f t="shared" si="1"/>
        <v>0</v>
      </c>
      <c r="AM18">
        <f t="shared" si="2"/>
        <v>3</v>
      </c>
      <c r="AN18">
        <f t="shared" si="3"/>
        <v>8</v>
      </c>
      <c r="AO18">
        <f t="shared" si="4"/>
        <v>28</v>
      </c>
      <c r="AP18">
        <f t="shared" si="5"/>
        <v>2075.1612903225805</v>
      </c>
      <c r="AQ18" s="21">
        <f t="shared" si="6"/>
        <v>58104.516129032258</v>
      </c>
      <c r="AR18" t="str">
        <f t="shared" si="7"/>
        <v>5000</v>
      </c>
      <c r="AS18" s="21">
        <f t="shared" si="8"/>
        <v>63104.516129032258</v>
      </c>
      <c r="AT18" s="21">
        <f t="shared" si="10"/>
        <v>1104.3290322580647</v>
      </c>
      <c r="AU18" s="21">
        <f t="shared" si="9"/>
        <v>62000.187096774192</v>
      </c>
    </row>
    <row r="19" spans="1:47">
      <c r="A19">
        <v>16</v>
      </c>
      <c r="B19" t="s">
        <v>74</v>
      </c>
      <c r="C19" t="s">
        <v>175</v>
      </c>
      <c r="F19" t="s">
        <v>103</v>
      </c>
      <c r="G19" t="s">
        <v>103</v>
      </c>
      <c r="H19" t="s">
        <v>103</v>
      </c>
      <c r="I19" t="s">
        <v>103</v>
      </c>
      <c r="J19" t="s">
        <v>103</v>
      </c>
      <c r="K19" t="s">
        <v>103</v>
      </c>
      <c r="M19" t="s">
        <v>103</v>
      </c>
      <c r="N19" t="s">
        <v>103</v>
      </c>
      <c r="O19" s="44"/>
      <c r="P19" t="s">
        <v>103</v>
      </c>
      <c r="Q19" t="s">
        <v>103</v>
      </c>
      <c r="R19" t="s">
        <v>103</v>
      </c>
      <c r="T19" t="s">
        <v>103</v>
      </c>
      <c r="U19" t="s">
        <v>103</v>
      </c>
      <c r="X19" t="s">
        <v>103</v>
      </c>
      <c r="Y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F19" t="s">
        <v>103</v>
      </c>
      <c r="AH19" t="s">
        <v>103</v>
      </c>
      <c r="AI19" t="s">
        <v>103</v>
      </c>
      <c r="AJ19">
        <v>81778</v>
      </c>
      <c r="AK19">
        <f t="shared" si="0"/>
        <v>23</v>
      </c>
      <c r="AL19">
        <f t="shared" si="1"/>
        <v>0</v>
      </c>
      <c r="AM19">
        <f t="shared" si="2"/>
        <v>0</v>
      </c>
      <c r="AN19">
        <f t="shared" si="3"/>
        <v>8</v>
      </c>
      <c r="AO19">
        <f t="shared" si="4"/>
        <v>31</v>
      </c>
      <c r="AP19">
        <f t="shared" si="5"/>
        <v>2638</v>
      </c>
      <c r="AQ19" s="21">
        <f t="shared" si="6"/>
        <v>81778</v>
      </c>
      <c r="AR19" t="str">
        <f t="shared" si="7"/>
        <v>5000</v>
      </c>
      <c r="AS19" s="21">
        <f t="shared" si="8"/>
        <v>86778</v>
      </c>
      <c r="AT19" s="21">
        <f t="shared" si="10"/>
        <v>1518.6150000000002</v>
      </c>
      <c r="AU19" s="21">
        <f t="shared" si="9"/>
        <v>85259.384999999995</v>
      </c>
    </row>
    <row r="20" spans="1:47">
      <c r="A20">
        <v>17</v>
      </c>
      <c r="B20" t="s">
        <v>75</v>
      </c>
      <c r="C20" t="s">
        <v>176</v>
      </c>
      <c r="F20" t="s">
        <v>103</v>
      </c>
      <c r="G20" t="s">
        <v>103</v>
      </c>
      <c r="H20" t="s">
        <v>103</v>
      </c>
      <c r="I20" t="s">
        <v>103</v>
      </c>
      <c r="J20" t="s">
        <v>103</v>
      </c>
      <c r="K20" t="s">
        <v>103</v>
      </c>
      <c r="M20" t="s">
        <v>103</v>
      </c>
      <c r="N20" t="s">
        <v>103</v>
      </c>
      <c r="O20" s="44"/>
      <c r="P20" t="s">
        <v>103</v>
      </c>
      <c r="Q20" t="s">
        <v>103</v>
      </c>
      <c r="R20" t="s">
        <v>103</v>
      </c>
      <c r="T20" t="s">
        <v>103</v>
      </c>
      <c r="U20" t="s">
        <v>103</v>
      </c>
      <c r="X20" t="s">
        <v>103</v>
      </c>
      <c r="Y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F20" t="s">
        <v>103</v>
      </c>
      <c r="AH20" t="s">
        <v>103</v>
      </c>
      <c r="AI20" t="s">
        <v>103</v>
      </c>
      <c r="AJ20">
        <v>58125</v>
      </c>
      <c r="AK20">
        <f t="shared" si="0"/>
        <v>23</v>
      </c>
      <c r="AL20">
        <f t="shared" si="1"/>
        <v>0</v>
      </c>
      <c r="AM20">
        <f t="shared" si="2"/>
        <v>0</v>
      </c>
      <c r="AN20">
        <f t="shared" si="3"/>
        <v>8</v>
      </c>
      <c r="AO20">
        <f t="shared" si="4"/>
        <v>31</v>
      </c>
      <c r="AP20">
        <f t="shared" si="5"/>
        <v>1875</v>
      </c>
      <c r="AQ20" s="21">
        <f t="shared" si="6"/>
        <v>58125</v>
      </c>
      <c r="AR20" t="str">
        <f t="shared" si="7"/>
        <v>2500</v>
      </c>
      <c r="AS20" s="21">
        <f t="shared" si="8"/>
        <v>60625</v>
      </c>
      <c r="AT20" s="21">
        <f t="shared" si="10"/>
        <v>1060.9375</v>
      </c>
      <c r="AU20" s="21">
        <f t="shared" si="9"/>
        <v>59564.0625</v>
      </c>
    </row>
    <row r="21" spans="1:47">
      <c r="A21">
        <v>18</v>
      </c>
      <c r="B21" t="s">
        <v>76</v>
      </c>
      <c r="C21" t="s">
        <v>177</v>
      </c>
      <c r="F21" t="s">
        <v>103</v>
      </c>
      <c r="G21" t="s">
        <v>103</v>
      </c>
      <c r="H21" t="s">
        <v>103</v>
      </c>
      <c r="I21" t="s">
        <v>103</v>
      </c>
      <c r="J21" t="s">
        <v>103</v>
      </c>
      <c r="K21" t="s">
        <v>103</v>
      </c>
      <c r="M21" t="s">
        <v>14</v>
      </c>
      <c r="N21" t="s">
        <v>103</v>
      </c>
      <c r="O21" s="44"/>
      <c r="P21" t="s">
        <v>103</v>
      </c>
      <c r="Q21" t="s">
        <v>103</v>
      </c>
      <c r="R21" t="s">
        <v>103</v>
      </c>
      <c r="T21" t="s">
        <v>103</v>
      </c>
      <c r="U21" t="s">
        <v>103</v>
      </c>
      <c r="X21" t="s">
        <v>103</v>
      </c>
      <c r="Y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F21" t="s">
        <v>103</v>
      </c>
      <c r="AH21" t="s">
        <v>103</v>
      </c>
      <c r="AI21" t="s">
        <v>14</v>
      </c>
      <c r="AJ21">
        <v>69800</v>
      </c>
      <c r="AK21">
        <f t="shared" si="0"/>
        <v>21</v>
      </c>
      <c r="AL21">
        <f t="shared" si="1"/>
        <v>0</v>
      </c>
      <c r="AM21">
        <f t="shared" si="2"/>
        <v>2</v>
      </c>
      <c r="AN21">
        <f t="shared" si="3"/>
        <v>8</v>
      </c>
      <c r="AO21">
        <f t="shared" si="4"/>
        <v>29</v>
      </c>
      <c r="AP21">
        <f t="shared" si="5"/>
        <v>2251.6129032258063</v>
      </c>
      <c r="AQ21" s="21">
        <f t="shared" si="6"/>
        <v>65296.774193548386</v>
      </c>
      <c r="AR21" t="str">
        <f t="shared" si="7"/>
        <v>5000</v>
      </c>
      <c r="AS21" s="21">
        <f t="shared" si="8"/>
        <v>70296.774193548394</v>
      </c>
      <c r="AT21" s="21">
        <f t="shared" si="10"/>
        <v>1230.1935483870971</v>
      </c>
      <c r="AU21" s="21">
        <f t="shared" si="9"/>
        <v>69066.580645161303</v>
      </c>
    </row>
    <row r="22" spans="1:47">
      <c r="A22">
        <v>19</v>
      </c>
      <c r="B22" t="s">
        <v>77</v>
      </c>
      <c r="C22" t="s">
        <v>178</v>
      </c>
      <c r="F22" t="s">
        <v>103</v>
      </c>
      <c r="G22" t="s">
        <v>103</v>
      </c>
      <c r="H22" t="s">
        <v>103</v>
      </c>
      <c r="I22" t="s">
        <v>103</v>
      </c>
      <c r="J22" t="s">
        <v>103</v>
      </c>
      <c r="K22" t="s">
        <v>14</v>
      </c>
      <c r="M22" t="s">
        <v>103</v>
      </c>
      <c r="N22" t="s">
        <v>103</v>
      </c>
      <c r="O22" s="44"/>
      <c r="P22" t="s">
        <v>103</v>
      </c>
      <c r="Q22" t="s">
        <v>103</v>
      </c>
      <c r="R22" t="s">
        <v>103</v>
      </c>
      <c r="T22" t="s">
        <v>103</v>
      </c>
      <c r="U22" t="s">
        <v>103</v>
      </c>
      <c r="X22" t="s">
        <v>103</v>
      </c>
      <c r="Y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F22" t="s">
        <v>14</v>
      </c>
      <c r="AH22" t="s">
        <v>103</v>
      </c>
      <c r="AI22" t="s">
        <v>103</v>
      </c>
      <c r="AJ22">
        <v>81646</v>
      </c>
      <c r="AK22">
        <f t="shared" si="0"/>
        <v>21</v>
      </c>
      <c r="AL22">
        <f t="shared" si="1"/>
        <v>0</v>
      </c>
      <c r="AM22">
        <f t="shared" si="2"/>
        <v>2</v>
      </c>
      <c r="AN22">
        <f t="shared" si="3"/>
        <v>8</v>
      </c>
      <c r="AO22">
        <f t="shared" si="4"/>
        <v>29</v>
      </c>
      <c r="AP22">
        <f t="shared" si="5"/>
        <v>2633.7419354838707</v>
      </c>
      <c r="AQ22" s="21">
        <f t="shared" si="6"/>
        <v>76378.516129032258</v>
      </c>
      <c r="AR22" t="str">
        <f t="shared" si="7"/>
        <v>5000</v>
      </c>
      <c r="AS22" s="21">
        <f t="shared" si="8"/>
        <v>81378.516129032258</v>
      </c>
      <c r="AT22" s="21">
        <f t="shared" si="10"/>
        <v>1424.1240322580647</v>
      </c>
      <c r="AU22" s="21">
        <f t="shared" si="9"/>
        <v>79954.392096774187</v>
      </c>
    </row>
    <row r="23" spans="1:47">
      <c r="A23">
        <v>20</v>
      </c>
      <c r="B23" t="s">
        <v>78</v>
      </c>
      <c r="C23" t="s">
        <v>179</v>
      </c>
      <c r="F23" t="s">
        <v>103</v>
      </c>
      <c r="G23" t="s">
        <v>103</v>
      </c>
      <c r="H23" t="s">
        <v>103</v>
      </c>
      <c r="I23" t="s">
        <v>103</v>
      </c>
      <c r="J23" t="s">
        <v>103</v>
      </c>
      <c r="K23" t="s">
        <v>103</v>
      </c>
      <c r="M23" t="s">
        <v>14</v>
      </c>
      <c r="N23" t="s">
        <v>103</v>
      </c>
      <c r="O23" s="44"/>
      <c r="P23" t="s">
        <v>103</v>
      </c>
      <c r="Q23" t="s">
        <v>103</v>
      </c>
      <c r="R23" t="s">
        <v>103</v>
      </c>
      <c r="T23" t="s">
        <v>103</v>
      </c>
      <c r="U23" t="s">
        <v>103</v>
      </c>
      <c r="X23" t="s">
        <v>103</v>
      </c>
      <c r="Y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F23" t="s">
        <v>103</v>
      </c>
      <c r="AH23" t="s">
        <v>103</v>
      </c>
      <c r="AI23" t="s">
        <v>103</v>
      </c>
      <c r="AJ23">
        <v>69176</v>
      </c>
      <c r="AK23">
        <f t="shared" si="0"/>
        <v>22</v>
      </c>
      <c r="AL23">
        <f t="shared" si="1"/>
        <v>0</v>
      </c>
      <c r="AM23">
        <f t="shared" si="2"/>
        <v>1</v>
      </c>
      <c r="AN23">
        <f t="shared" si="3"/>
        <v>8</v>
      </c>
      <c r="AO23">
        <f t="shared" si="4"/>
        <v>30</v>
      </c>
      <c r="AP23">
        <f t="shared" si="5"/>
        <v>2231.483870967742</v>
      </c>
      <c r="AQ23" s="21">
        <f t="shared" si="6"/>
        <v>66944.516129032258</v>
      </c>
      <c r="AR23" t="str">
        <f t="shared" si="7"/>
        <v>5000</v>
      </c>
      <c r="AS23" s="21">
        <f t="shared" si="8"/>
        <v>71944.516129032258</v>
      </c>
      <c r="AT23" s="21">
        <f t="shared" si="10"/>
        <v>1259.0290322580647</v>
      </c>
      <c r="AU23" s="21">
        <f t="shared" si="9"/>
        <v>70685.487096774188</v>
      </c>
    </row>
    <row r="24" spans="1:47">
      <c r="A24">
        <v>21</v>
      </c>
      <c r="B24" t="s">
        <v>79</v>
      </c>
      <c r="C24" t="s">
        <v>180</v>
      </c>
      <c r="F24" t="s">
        <v>103</v>
      </c>
      <c r="G24" t="s">
        <v>103</v>
      </c>
      <c r="H24" t="s">
        <v>103</v>
      </c>
      <c r="I24" t="s">
        <v>103</v>
      </c>
      <c r="J24" t="s">
        <v>103</v>
      </c>
      <c r="K24" t="s">
        <v>103</v>
      </c>
      <c r="M24" t="s">
        <v>103</v>
      </c>
      <c r="N24" t="s">
        <v>103</v>
      </c>
      <c r="O24" s="44"/>
      <c r="P24" t="s">
        <v>103</v>
      </c>
      <c r="Q24" t="s">
        <v>103</v>
      </c>
      <c r="R24" t="s">
        <v>103</v>
      </c>
      <c r="T24" t="s">
        <v>103</v>
      </c>
      <c r="U24" t="s">
        <v>103</v>
      </c>
      <c r="X24" t="s">
        <v>103</v>
      </c>
      <c r="Y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F24" t="s">
        <v>103</v>
      </c>
      <c r="AH24" t="s">
        <v>103</v>
      </c>
      <c r="AI24" t="s">
        <v>103</v>
      </c>
      <c r="AJ24">
        <v>67374</v>
      </c>
      <c r="AK24">
        <f t="shared" si="0"/>
        <v>23</v>
      </c>
      <c r="AL24">
        <f t="shared" si="1"/>
        <v>0</v>
      </c>
      <c r="AM24">
        <f t="shared" si="2"/>
        <v>0</v>
      </c>
      <c r="AN24">
        <f t="shared" si="3"/>
        <v>8</v>
      </c>
      <c r="AO24">
        <f t="shared" si="4"/>
        <v>31</v>
      </c>
      <c r="AP24">
        <f t="shared" si="5"/>
        <v>2173.3548387096776</v>
      </c>
      <c r="AQ24" s="21">
        <f t="shared" si="6"/>
        <v>67374</v>
      </c>
      <c r="AR24" t="str">
        <f t="shared" si="7"/>
        <v>5000</v>
      </c>
      <c r="AS24" s="21">
        <f t="shared" si="8"/>
        <v>72374</v>
      </c>
      <c r="AT24" s="21">
        <f t="shared" si="10"/>
        <v>1266.5450000000001</v>
      </c>
      <c r="AU24" s="21">
        <f t="shared" si="9"/>
        <v>71107.455000000002</v>
      </c>
    </row>
    <row r="25" spans="1:47">
      <c r="A25">
        <v>22</v>
      </c>
      <c r="B25" t="s">
        <v>80</v>
      </c>
      <c r="C25" t="s">
        <v>181</v>
      </c>
      <c r="F25" t="s">
        <v>103</v>
      </c>
      <c r="G25" t="s">
        <v>103</v>
      </c>
      <c r="H25" t="s">
        <v>103</v>
      </c>
      <c r="I25" t="s">
        <v>103</v>
      </c>
      <c r="J25" t="s">
        <v>103</v>
      </c>
      <c r="K25" t="s">
        <v>103</v>
      </c>
      <c r="M25" t="s">
        <v>103</v>
      </c>
      <c r="N25" t="s">
        <v>103</v>
      </c>
      <c r="O25" s="44"/>
      <c r="P25" t="s">
        <v>103</v>
      </c>
      <c r="Q25" t="s">
        <v>103</v>
      </c>
      <c r="R25" t="s">
        <v>103</v>
      </c>
      <c r="T25" t="s">
        <v>103</v>
      </c>
      <c r="U25" t="s">
        <v>103</v>
      </c>
      <c r="X25" t="s">
        <v>103</v>
      </c>
      <c r="Y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F25" t="s">
        <v>103</v>
      </c>
      <c r="AH25" t="s">
        <v>103</v>
      </c>
      <c r="AI25" t="s">
        <v>103</v>
      </c>
      <c r="AJ25">
        <v>85307</v>
      </c>
      <c r="AK25">
        <f t="shared" si="0"/>
        <v>23</v>
      </c>
      <c r="AL25">
        <f t="shared" si="1"/>
        <v>0</v>
      </c>
      <c r="AM25">
        <f t="shared" si="2"/>
        <v>0</v>
      </c>
      <c r="AN25">
        <f t="shared" si="3"/>
        <v>8</v>
      </c>
      <c r="AO25">
        <f t="shared" si="4"/>
        <v>31</v>
      </c>
      <c r="AP25">
        <f t="shared" si="5"/>
        <v>2751.8387096774195</v>
      </c>
      <c r="AQ25" s="21">
        <f t="shared" si="6"/>
        <v>85307</v>
      </c>
      <c r="AR25" t="str">
        <f t="shared" si="7"/>
        <v>5000</v>
      </c>
      <c r="AS25" s="21">
        <f t="shared" si="8"/>
        <v>90307</v>
      </c>
      <c r="AT25" s="21">
        <f t="shared" si="10"/>
        <v>1580.3725000000002</v>
      </c>
      <c r="AU25" s="21">
        <f t="shared" si="9"/>
        <v>88726.627500000002</v>
      </c>
    </row>
    <row r="26" spans="1:47">
      <c r="A26">
        <v>23</v>
      </c>
      <c r="B26" t="s">
        <v>84</v>
      </c>
      <c r="C26" t="s">
        <v>182</v>
      </c>
      <c r="F26" t="s">
        <v>103</v>
      </c>
      <c r="G26" t="s">
        <v>103</v>
      </c>
      <c r="H26" t="s">
        <v>103</v>
      </c>
      <c r="I26" t="s">
        <v>103</v>
      </c>
      <c r="J26" t="s">
        <v>103</v>
      </c>
      <c r="K26" t="s">
        <v>103</v>
      </c>
      <c r="M26" t="s">
        <v>103</v>
      </c>
      <c r="N26" t="s">
        <v>103</v>
      </c>
      <c r="O26" s="44"/>
      <c r="P26" t="s">
        <v>103</v>
      </c>
      <c r="Q26" t="s">
        <v>103</v>
      </c>
      <c r="R26" t="s">
        <v>103</v>
      </c>
      <c r="T26" t="s">
        <v>103</v>
      </c>
      <c r="U26" t="s">
        <v>103</v>
      </c>
      <c r="X26" t="s">
        <v>103</v>
      </c>
      <c r="Y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F26" t="s">
        <v>103</v>
      </c>
      <c r="AH26" t="s">
        <v>14</v>
      </c>
      <c r="AI26" t="s">
        <v>14</v>
      </c>
      <c r="AJ26">
        <v>79695</v>
      </c>
      <c r="AK26">
        <f t="shared" si="0"/>
        <v>21</v>
      </c>
      <c r="AL26">
        <f t="shared" si="1"/>
        <v>0</v>
      </c>
      <c r="AM26">
        <f t="shared" si="2"/>
        <v>2</v>
      </c>
      <c r="AN26">
        <f t="shared" si="3"/>
        <v>8</v>
      </c>
      <c r="AO26">
        <f t="shared" si="4"/>
        <v>29</v>
      </c>
      <c r="AP26">
        <f t="shared" si="5"/>
        <v>2570.8064516129034</v>
      </c>
      <c r="AQ26" s="21">
        <f t="shared" si="6"/>
        <v>74553.387096774197</v>
      </c>
      <c r="AR26" t="str">
        <f t="shared" si="7"/>
        <v>5000</v>
      </c>
      <c r="AS26" s="21">
        <f t="shared" si="8"/>
        <v>79553.387096774197</v>
      </c>
      <c r="AT26" s="21">
        <f t="shared" si="10"/>
        <v>1392.1842741935486</v>
      </c>
      <c r="AU26" s="21">
        <f t="shared" si="9"/>
        <v>78161.202822580643</v>
      </c>
    </row>
  </sheetData>
  <phoneticPr fontId="3" type="noConversion"/>
  <conditionalFormatting sqref="F4:AI26">
    <cfRule type="containsText" dxfId="22" priority="1" operator="containsText" text="H">
      <formula>NOT(ISERROR(SEARCH("H",F4)))</formula>
    </cfRule>
    <cfRule type="containsText" dxfId="21" priority="2" operator="containsText" text="A">
      <formula>NOT(ISERROR(SEARCH("A",F4)))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O17"/>
  <sheetViews>
    <sheetView tabSelected="1" workbookViewId="0">
      <selection activeCell="C9" sqref="C9"/>
    </sheetView>
  </sheetViews>
  <sheetFormatPr defaultRowHeight="15"/>
  <sheetData>
    <row r="5" spans="5:15">
      <c r="E5" s="2"/>
      <c r="F5" s="49" t="s">
        <v>183</v>
      </c>
      <c r="G5" s="49"/>
      <c r="H5" s="49"/>
      <c r="I5" s="49"/>
      <c r="J5" s="49"/>
      <c r="K5" s="49"/>
      <c r="L5" s="49"/>
      <c r="M5" s="49"/>
      <c r="N5" s="2"/>
      <c r="O5" s="2"/>
    </row>
    <row r="6" spans="5:15">
      <c r="E6" s="2"/>
      <c r="F6" s="49"/>
      <c r="G6" s="49"/>
      <c r="H6" s="49"/>
      <c r="I6" s="49"/>
      <c r="J6" s="49"/>
      <c r="K6" s="49"/>
      <c r="L6" s="49"/>
      <c r="M6" s="49"/>
      <c r="N6" s="2"/>
      <c r="O6" s="2"/>
    </row>
    <row r="7" spans="5:15">
      <c r="E7" s="2"/>
      <c r="F7" s="49"/>
      <c r="G7" s="49"/>
      <c r="H7" s="49"/>
      <c r="I7" s="49"/>
      <c r="J7" s="49"/>
      <c r="K7" s="49"/>
      <c r="L7" s="49"/>
      <c r="M7" s="49"/>
      <c r="N7" s="2"/>
      <c r="O7" s="2"/>
    </row>
    <row r="8" spans="5:15">
      <c r="E8" s="2"/>
      <c r="F8" s="49"/>
      <c r="G8" s="49"/>
      <c r="H8" s="49"/>
      <c r="I8" s="49"/>
      <c r="J8" s="49"/>
      <c r="K8" s="49"/>
      <c r="L8" s="49"/>
      <c r="M8" s="49"/>
      <c r="N8" s="2"/>
      <c r="O8" s="2"/>
    </row>
    <row r="9" spans="5:15">
      <c r="E9" s="2"/>
      <c r="F9" s="49"/>
      <c r="G9" s="49"/>
      <c r="H9" s="49"/>
      <c r="I9" s="49"/>
      <c r="J9" s="49"/>
      <c r="K9" s="49"/>
      <c r="L9" s="49"/>
      <c r="M9" s="49"/>
      <c r="N9" s="2"/>
      <c r="O9" s="2"/>
    </row>
    <row r="10" spans="5:15">
      <c r="E10" s="5" t="s">
        <v>3</v>
      </c>
      <c r="F10" s="5" t="s">
        <v>184</v>
      </c>
      <c r="G10" s="5" t="s">
        <v>185</v>
      </c>
      <c r="H10" s="5" t="s">
        <v>186</v>
      </c>
      <c r="I10" s="5" t="s">
        <v>187</v>
      </c>
      <c r="J10" s="5" t="s">
        <v>188</v>
      </c>
      <c r="K10" s="5" t="s">
        <v>189</v>
      </c>
      <c r="L10" s="5" t="s">
        <v>190</v>
      </c>
      <c r="M10" s="5" t="s">
        <v>191</v>
      </c>
      <c r="N10" s="5" t="s">
        <v>192</v>
      </c>
      <c r="O10" s="5" t="s">
        <v>193</v>
      </c>
    </row>
    <row r="11" spans="5:15">
      <c r="E11" s="2">
        <v>1</v>
      </c>
      <c r="F11" s="2" t="s">
        <v>194</v>
      </c>
      <c r="G11" s="2" t="s">
        <v>201</v>
      </c>
      <c r="H11" s="2">
        <v>38</v>
      </c>
      <c r="I11" s="2">
        <v>71</v>
      </c>
      <c r="J11" s="2">
        <v>83</v>
      </c>
      <c r="K11" s="2">
        <v>47</v>
      </c>
      <c r="L11" s="2">
        <v>49</v>
      </c>
      <c r="M11" s="2">
        <f>SUM(H11:L11)</f>
        <v>288</v>
      </c>
      <c r="N11" s="2">
        <f>M11/5</f>
        <v>57.6</v>
      </c>
      <c r="O11" s="2"/>
    </row>
    <row r="12" spans="5:15">
      <c r="E12" s="2">
        <v>2</v>
      </c>
      <c r="F12" s="2" t="s">
        <v>195</v>
      </c>
      <c r="G12" s="2" t="s">
        <v>201</v>
      </c>
      <c r="H12" s="2">
        <v>70</v>
      </c>
      <c r="I12" s="2">
        <v>77</v>
      </c>
      <c r="J12" s="2">
        <v>65</v>
      </c>
      <c r="K12" s="2">
        <v>66</v>
      </c>
      <c r="L12" s="2">
        <v>82</v>
      </c>
      <c r="M12" s="2">
        <f t="shared" ref="M12:M17" si="0">SUM(H12:L12)</f>
        <v>360</v>
      </c>
      <c r="N12" s="2">
        <f t="shared" ref="N12:N17" si="1">M12/5</f>
        <v>72</v>
      </c>
      <c r="O12" s="2"/>
    </row>
    <row r="13" spans="5:15">
      <c r="E13" s="2">
        <v>3</v>
      </c>
      <c r="F13" s="2" t="s">
        <v>196</v>
      </c>
      <c r="G13" s="2" t="s">
        <v>201</v>
      </c>
      <c r="H13" s="2">
        <v>55</v>
      </c>
      <c r="I13" s="2">
        <v>54</v>
      </c>
      <c r="J13" s="2">
        <v>63</v>
      </c>
      <c r="K13" s="2">
        <v>82</v>
      </c>
      <c r="L13" s="2">
        <v>57</v>
      </c>
      <c r="M13" s="2">
        <f t="shared" si="0"/>
        <v>311</v>
      </c>
      <c r="N13" s="2">
        <f t="shared" si="1"/>
        <v>62.2</v>
      </c>
      <c r="O13" s="2"/>
    </row>
    <row r="14" spans="5:15">
      <c r="E14" s="2">
        <v>4</v>
      </c>
      <c r="F14" s="2" t="s">
        <v>197</v>
      </c>
      <c r="G14" s="2" t="s">
        <v>201</v>
      </c>
      <c r="H14" s="2">
        <v>73</v>
      </c>
      <c r="I14" s="2">
        <v>89</v>
      </c>
      <c r="J14" s="2">
        <v>67</v>
      </c>
      <c r="K14" s="2">
        <v>66</v>
      </c>
      <c r="L14" s="2">
        <v>49</v>
      </c>
      <c r="M14" s="2">
        <f t="shared" si="0"/>
        <v>344</v>
      </c>
      <c r="N14" s="2">
        <f t="shared" si="1"/>
        <v>68.8</v>
      </c>
      <c r="O14" s="2"/>
    </row>
    <row r="15" spans="5:15">
      <c r="E15" s="2">
        <v>5</v>
      </c>
      <c r="F15" s="2" t="s">
        <v>198</v>
      </c>
      <c r="G15" s="2" t="s">
        <v>201</v>
      </c>
      <c r="H15" s="2">
        <v>79</v>
      </c>
      <c r="I15" s="2">
        <v>70</v>
      </c>
      <c r="J15" s="2">
        <v>48</v>
      </c>
      <c r="K15" s="2">
        <v>53</v>
      </c>
      <c r="L15" s="2">
        <v>50</v>
      </c>
      <c r="M15" s="2">
        <f t="shared" si="0"/>
        <v>300</v>
      </c>
      <c r="N15" s="2">
        <f t="shared" si="1"/>
        <v>60</v>
      </c>
      <c r="O15" s="2"/>
    </row>
    <row r="16" spans="5:15">
      <c r="E16" s="2">
        <v>6</v>
      </c>
      <c r="F16" s="2" t="s">
        <v>199</v>
      </c>
      <c r="G16" s="2" t="s">
        <v>201</v>
      </c>
      <c r="H16" s="2">
        <v>91</v>
      </c>
      <c r="I16" s="2">
        <v>40</v>
      </c>
      <c r="J16" s="2">
        <v>59</v>
      </c>
      <c r="K16" s="2">
        <v>33</v>
      </c>
      <c r="L16" s="2">
        <v>93</v>
      </c>
      <c r="M16" s="2">
        <f t="shared" si="0"/>
        <v>316</v>
      </c>
      <c r="N16" s="2">
        <f t="shared" si="1"/>
        <v>63.2</v>
      </c>
      <c r="O16" s="2"/>
    </row>
    <row r="17" spans="5:15">
      <c r="E17" s="2">
        <v>7</v>
      </c>
      <c r="F17" s="2" t="s">
        <v>200</v>
      </c>
      <c r="G17" s="2" t="s">
        <v>201</v>
      </c>
      <c r="H17" s="2">
        <v>89</v>
      </c>
      <c r="I17" s="2">
        <v>76</v>
      </c>
      <c r="J17" s="2">
        <v>56</v>
      </c>
      <c r="K17" s="2">
        <v>87</v>
      </c>
      <c r="L17" s="2">
        <v>62</v>
      </c>
      <c r="M17" s="2">
        <f t="shared" si="0"/>
        <v>370</v>
      </c>
      <c r="N17" s="2">
        <f t="shared" si="1"/>
        <v>74</v>
      </c>
      <c r="O17" s="2"/>
    </row>
  </sheetData>
  <mergeCells count="1">
    <mergeCell ref="F5:M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Sheet1!Criteria</vt:lpstr>
      <vt:lpstr>Sheet2!Criteria</vt:lpstr>
      <vt:lpstr>Sheet1!Extract</vt:lpstr>
      <vt:lpstr>Sheet2!Extract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Inderdev Choudhary</dc:creator>
  <cp:lastModifiedBy>Literacy</cp:lastModifiedBy>
  <dcterms:created xsi:type="dcterms:W3CDTF">2023-11-23T09:55:12Z</dcterms:created>
  <dcterms:modified xsi:type="dcterms:W3CDTF">2024-01-11T09:48:22Z</dcterms:modified>
</cp:coreProperties>
</file>